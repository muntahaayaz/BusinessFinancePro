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ad\BusinessFinancePro\"/>
    </mc:Choice>
  </mc:AlternateContent>
  <xr:revisionPtr revIDLastSave="0" documentId="13_ncr:1_{2EB47428-28A9-4377-802F-63BB5868B650}" xr6:coauthVersionLast="36" xr6:coauthVersionMax="36" xr10:uidLastSave="{00000000-0000-0000-0000-000000000000}"/>
  <bookViews>
    <workbookView xWindow="0" yWindow="0" windowWidth="20490" windowHeight="8235" tabRatio="500" xr2:uid="{00000000-000D-0000-FFFF-FFFF00000000}"/>
  </bookViews>
  <sheets>
    <sheet name="Home" sheetId="1" r:id="rId1"/>
    <sheet name="Settings" sheetId="2" r:id="rId2"/>
    <sheet name="Quick Add" sheetId="3" r:id="rId3"/>
    <sheet name="Bills" sheetId="4" r:id="rId4"/>
    <sheet name="Clients" sheetId="5" r:id="rId5"/>
    <sheet name="Goals" sheetId="6" r:id="rId6"/>
    <sheet name="_data_Transactions" sheetId="7" state="hidden" r:id="rId7"/>
    <sheet name="_data_Categories" sheetId="8" state="hidden" r:id="rId8"/>
    <sheet name="_data_Vendors" sheetId="9" state="hidden" r:id="rId9"/>
    <sheet name="_data_Bills" sheetId="10" state="hidden" r:id="rId10"/>
    <sheet name="_data_Customers" sheetId="11" state="hidden" r:id="rId11"/>
    <sheet name="_data_Invoices" sheetId="12" state="hidden" r:id="rId12"/>
    <sheet name="_data_Goals" sheetId="13" state="hidden" r:id="rId13"/>
    <sheet name="_data_BusinessProfile" sheetId="14" state="hidden" r:id="rId14"/>
    <sheet name="_data_Settings" sheetId="15" state="hidden" r:id="rId15"/>
    <sheet name="_calc_Core" sheetId="16" state="hidden" r:id="rId16"/>
    <sheet name="_calc_Health" sheetId="17" state="hidden" r:id="rId17"/>
    <sheet name="_calc_Attention" sheetId="18" state="hidden" r:id="rId18"/>
    <sheet name="_calc_Insights" sheetId="19" state="hidden" r:id="rId19"/>
    <sheet name="_lists_Validation" sheetId="20" state="hidden" r:id="rId20"/>
  </sheets>
  <definedNames>
    <definedName name="AttentionItem1Description">_calc_Attention!$D$30</definedName>
    <definedName name="AttentionItem1Icon">_calc_Attention!$F$30</definedName>
    <definedName name="AttentionItem1Priority">_calc_Attention!$B$30</definedName>
    <definedName name="AttentionItem1Severity">_calc_Attention!$E$30</definedName>
    <definedName name="AttentionItem1Source">_calc_Attention!$G$30</definedName>
    <definedName name="AttentionItem1Title">_calc_Attention!$C$30</definedName>
    <definedName name="AttentionItem2Description">_calc_Attention!$D$31</definedName>
    <definedName name="AttentionItem2Icon">_calc_Attention!$F$31</definedName>
    <definedName name="AttentionItem2Priority">_calc_Attention!$B$31</definedName>
    <definedName name="AttentionItem2Severity">_calc_Attention!$E$31</definedName>
    <definedName name="AttentionItem2Source">_calc_Attention!$G$31</definedName>
    <definedName name="AttentionItem2Title">_calc_Attention!$C$31</definedName>
    <definedName name="AttentionItem3Description">_calc_Attention!$D$32</definedName>
    <definedName name="AttentionItem3Icon">_calc_Attention!$F$32</definedName>
    <definedName name="AttentionItem3Priority">_calc_Attention!$B$32</definedName>
    <definedName name="AttentionItem3Severity">_calc_Attention!$E$32</definedName>
    <definedName name="AttentionItem3Source">_calc_Attention!$G$32</definedName>
    <definedName name="AttentionItem3Title">_calc_Attention!$C$32</definedName>
    <definedName name="AttentionItem4Description">_calc_Attention!$D$33</definedName>
    <definedName name="AttentionItem4Icon">_calc_Attention!$F$33</definedName>
    <definedName name="AttentionItem4Priority">_calc_Attention!$B$33</definedName>
    <definedName name="AttentionItem4Severity">_calc_Attention!$E$33</definedName>
    <definedName name="AttentionItem4Source">_calc_Attention!$G$33</definedName>
    <definedName name="AttentionItem4Title">_calc_Attention!$C$33</definedName>
    <definedName name="AttentionItem5Description">_calc_Attention!$D$34</definedName>
    <definedName name="AttentionItem5Icon">_calc_Attention!$F$34</definedName>
    <definedName name="AttentionItem5Priority">_calc_Attention!$B$34</definedName>
    <definedName name="AttentionItem5Severity">_calc_Attention!$E$34</definedName>
    <definedName name="AttentionItem5Source">_calc_Attention!$G$34</definedName>
    <definedName name="AttentionItem5Title">_calc_Attention!$C$34</definedName>
    <definedName name="AttentionItemCount">_calc_Attention!$B$35</definedName>
    <definedName name="calcAverageTransaction">_calc_Core!$B$8</definedName>
    <definedName name="calcCurrentMonth">_calc_Core!$B$2</definedName>
    <definedName name="calcHealthColor">_calc_Health!$B$34</definedName>
    <definedName name="calcHealthIcon">_calc_Health!$B$35</definedName>
    <definedName name="calcHealthScore">_calc_Health!$B$31</definedName>
    <definedName name="calcHealthState">_calc_Health!$B$30</definedName>
    <definedName name="calcHealthSubtitle">_calc_Health!$B$33</definedName>
    <definedName name="calcHealthTitle">_calc_Health!$B$32</definedName>
    <definedName name="calcMoneyInThisMonth">_calc_Core!$B$4</definedName>
    <definedName name="calcMoneyOutThisMonth">_calc_Core!$B$5</definedName>
    <definedName name="calcNetCashFlow">_calc_Core!$B$6</definedName>
    <definedName name="calcPreviousMonth">_calc_Core!$B$3</definedName>
    <definedName name="calcTransactionCount">_calc_Core!$B$7</definedName>
    <definedName name="CategoryNameList">tbl_Categories[CategoryName]</definedName>
    <definedName name="CelebrationsEnabledFlag">_data_Settings!$D$2</definedName>
    <definedName name="CurrencySymbol">IFERROR(INDEX(_lists_Validation!$U$2:$U$7,MATCH(CurrentCurrency,_lists_Validation!$T$2:$T$7,0)),"$")</definedName>
    <definedName name="CurrentAppVersion">_data_Settings!$G$2</definedName>
    <definedName name="CurrentBuildNumber">_data_Settings!$J$2</definedName>
    <definedName name="CurrentBusinessName">_data_BusinessProfile!$A$2</definedName>
    <definedName name="CurrentBusinessType">_data_BusinessProfile!$B$2</definedName>
    <definedName name="CurrentCurrency">_data_BusinessProfile!$D$2</definedName>
    <definedName name="CurrentDateFormat">_data_Settings!$A$2</definedName>
    <definedName name="CurrentFiscalYearStart">_data_BusinessProfile!$C$2</definedName>
    <definedName name="CurrentLastBriefingGeneratedDate">_data_Settings!$F$2</definedName>
    <definedName name="CurrentLastUpdated">_data_Settings!$K$2</definedName>
    <definedName name="CurrentLicense">_data_Settings!$L$2</definedName>
    <definedName name="CurrentLogoPlaceholder">_data_BusinessProfile!$G$2</definedName>
    <definedName name="CurrentNumberFormat">_data_Settings!$H$2</definedName>
    <definedName name="CurrentOwnerName">_data_BusinessProfile!$H$2</definedName>
    <definedName name="CurrentSetupCompletedDate">_data_BusinessProfile!$F$2</definedName>
    <definedName name="CurrentStartingCash">_data_BusinessProfile!$E$2</definedName>
    <definedName name="CurrentTheme">_data_Settings!$I$2</definedName>
    <definedName name="CurrentTimeZone">_data_BusinessProfile!$I$2</definedName>
    <definedName name="CurrentWeekStart">_data_Settings!$B$2</definedName>
    <definedName name="CustomerNameList">tbl_Customers[CustomerName]</definedName>
    <definedName name="DefaultInvoiceDueDays">_data_Settings!$E$2</definedName>
    <definedName name="InsightItem1DisplayOrder">_calc_Insights!$H$28</definedName>
    <definedName name="InsightItem1Icon">_calc_Insights!$G$28</definedName>
    <definedName name="InsightItem1InsightType">_calc_Insights!$E$28</definedName>
    <definedName name="InsightItem1Message">_calc_Insights!$D$28</definedName>
    <definedName name="InsightItem1Priority">_calc_Insights!$B$28</definedName>
    <definedName name="InsightItem1SupportingValue">_calc_Insights!$F$28</definedName>
    <definedName name="InsightItem1Title">_calc_Insights!$C$28</definedName>
    <definedName name="InsightItem2DisplayOrder">_calc_Insights!$H$29</definedName>
    <definedName name="InsightItem2Icon">_calc_Insights!$G$29</definedName>
    <definedName name="InsightItem2InsightType">_calc_Insights!$E$29</definedName>
    <definedName name="InsightItem2Message">_calc_Insights!$D$29</definedName>
    <definedName name="InsightItem2Priority">_calc_Insights!$B$29</definedName>
    <definedName name="InsightItem2SupportingValue">_calc_Insights!$F$29</definedName>
    <definedName name="InsightItem2Title">_calc_Insights!$C$29</definedName>
    <definedName name="InsightItem3DisplayOrder">_calc_Insights!$H$30</definedName>
    <definedName name="InsightItem3Icon">_calc_Insights!$G$30</definedName>
    <definedName name="InsightItem3InsightType">_calc_Insights!$E$30</definedName>
    <definedName name="InsightItem3Message">_calc_Insights!$D$30</definedName>
    <definedName name="InsightItem3Priority">_calc_Insights!$B$30</definedName>
    <definedName name="InsightItem3SupportingValue">_calc_Insights!$F$30</definedName>
    <definedName name="InsightItem3Title">_calc_Insights!$C$30</definedName>
    <definedName name="InsightItemCount">_calc_Insights!$B$31</definedName>
    <definedName name="InsightsEnabledFlag">_data_Settings!$C$2</definedName>
    <definedName name="PayeeNameList">OFFSET(_lists_Validation!$R$2,0,0,MAX(1,COUNTIF(_lists_Validation!$R$2:$R$101,"?*")),1)</definedName>
    <definedName name="_xlnm.Print_Area" localSheetId="3">Bills!$A$1</definedName>
    <definedName name="_xlnm.Print_Area" localSheetId="4">Clients!$A$1</definedName>
    <definedName name="_xlnm.Print_Area" localSheetId="5">Goals!$A$1</definedName>
    <definedName name="_xlnm.Print_Area" localSheetId="0">Home!$A$1</definedName>
    <definedName name="_xlnm.Print_Area" localSheetId="2">'Quick Add'!$A$1</definedName>
    <definedName name="_xlnm.Print_Area" localSheetId="1">Settings!$A$1</definedName>
    <definedName name="rngBillStatuses">_lists_Validation!$L$2:$L$4</definedName>
    <definedName name="rngBooleanChoice">_lists_Validation!$K$2:$K$3</definedName>
    <definedName name="rngBusinessTypes">_lists_Validation!$B$2:$B$5</definedName>
    <definedName name="rngCategoryDirection">_lists_Validation!$J$2:$J$4</definedName>
    <definedName name="rngCurrencies">_lists_Validation!$A$2:$A$7</definedName>
    <definedName name="rngDateFormats">_lists_Validation!$G$2:$G$3</definedName>
    <definedName name="rngGoalStatuses">_lists_Validation!$P$2:$P$4</definedName>
    <definedName name="rngGoalTypes">_lists_Validation!$O$2:$O$4</definedName>
    <definedName name="rngInvoiceStatuses">_lists_Validation!$N$2:$N$6</definedName>
    <definedName name="rngMonths">_lists_Validation!$C$2:$C$13</definedName>
    <definedName name="rngNumberFormats">_lists_Validation!$H$2:$H$3</definedName>
    <definedName name="rngRecurrenceFrequencies">_lists_Validation!$M$2:$M$6</definedName>
    <definedName name="rngThemes">_lists_Validation!$F$2:$F$2</definedName>
    <definedName name="rngTimeZones">_lists_Validation!$E$2:$E$6</definedName>
    <definedName name="rngTransactionDirection">_lists_Validation!$I$2:$I$3</definedName>
    <definedName name="rngWeekStart">_lists_Validation!$D$2:$D$3</definedName>
    <definedName name="VendorNameList">tbl_Vendors[VendorName]</definedName>
  </definedNames>
  <calcPr calcId="191029" iterateDelta="1E-4"/>
</workbook>
</file>

<file path=xl/calcChain.xml><?xml version="1.0" encoding="utf-8"?>
<calcChain xmlns="http://schemas.openxmlformats.org/spreadsheetml/2006/main">
  <c r="G19" i="3" l="1"/>
  <c r="R101" i="20"/>
  <c r="R100" i="20"/>
  <c r="R99" i="20"/>
  <c r="R98" i="20"/>
  <c r="R97" i="20"/>
  <c r="R96" i="20"/>
  <c r="R95" i="20"/>
  <c r="R94" i="20"/>
  <c r="R93" i="20"/>
  <c r="R92" i="20"/>
  <c r="R91" i="20"/>
  <c r="R90" i="20"/>
  <c r="R89" i="20"/>
  <c r="R88" i="20"/>
  <c r="R87" i="20"/>
  <c r="R86" i="20"/>
  <c r="R85" i="20"/>
  <c r="R84" i="20"/>
  <c r="R83" i="20"/>
  <c r="R82" i="20"/>
  <c r="R81" i="20"/>
  <c r="R80" i="20"/>
  <c r="R79" i="20"/>
  <c r="R78" i="20"/>
  <c r="R77" i="20"/>
  <c r="R76" i="20"/>
  <c r="R75" i="20"/>
  <c r="R74" i="20"/>
  <c r="R73" i="20"/>
  <c r="R72" i="20"/>
  <c r="R71" i="20"/>
  <c r="R70" i="20"/>
  <c r="R69" i="20"/>
  <c r="R68" i="20"/>
  <c r="R67" i="20"/>
  <c r="R66" i="20"/>
  <c r="R65" i="20"/>
  <c r="R64" i="20"/>
  <c r="R63" i="20"/>
  <c r="R62" i="20"/>
  <c r="R61" i="20"/>
  <c r="R60" i="20"/>
  <c r="R59" i="20"/>
  <c r="R58" i="20"/>
  <c r="R57" i="20"/>
  <c r="R56" i="20"/>
  <c r="R55" i="20"/>
  <c r="R54" i="20"/>
  <c r="R53" i="20"/>
  <c r="R52" i="20"/>
  <c r="R51" i="20"/>
  <c r="R50" i="20"/>
  <c r="R49" i="20"/>
  <c r="R48" i="20"/>
  <c r="R47" i="20"/>
  <c r="R46" i="20"/>
  <c r="R45" i="20"/>
  <c r="R44" i="20"/>
  <c r="R43" i="20"/>
  <c r="R42" i="20"/>
  <c r="R41" i="20"/>
  <c r="R40" i="20"/>
  <c r="R39" i="20"/>
  <c r="R38" i="20"/>
  <c r="R37" i="20"/>
  <c r="R36" i="20"/>
  <c r="R35" i="20"/>
  <c r="R34" i="20"/>
  <c r="R33" i="20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/>
  <c r="R2" i="20"/>
  <c r="B76" i="19"/>
  <c r="B77" i="19" s="1"/>
  <c r="B75" i="19"/>
  <c r="B74" i="19"/>
  <c r="B68" i="19"/>
  <c r="A68" i="19"/>
  <c r="C68" i="19" s="1"/>
  <c r="B67" i="19"/>
  <c r="A67" i="19"/>
  <c r="C67" i="19" s="1"/>
  <c r="C66" i="19"/>
  <c r="B66" i="19"/>
  <c r="A66" i="19"/>
  <c r="B65" i="19"/>
  <c r="A65" i="19"/>
  <c r="C65" i="19" s="1"/>
  <c r="B64" i="19"/>
  <c r="A64" i="19"/>
  <c r="C64" i="19" s="1"/>
  <c r="B63" i="19"/>
  <c r="A63" i="19"/>
  <c r="C63" i="19" s="1"/>
  <c r="C62" i="19"/>
  <c r="B62" i="19"/>
  <c r="A62" i="19"/>
  <c r="B61" i="19"/>
  <c r="A61" i="19"/>
  <c r="C61" i="19" s="1"/>
  <c r="B60" i="19"/>
  <c r="A60" i="19"/>
  <c r="C60" i="19" s="1"/>
  <c r="B59" i="19"/>
  <c r="A59" i="19"/>
  <c r="C55" i="19"/>
  <c r="B55" i="19"/>
  <c r="A55" i="19"/>
  <c r="B54" i="19"/>
  <c r="A54" i="19"/>
  <c r="C54" i="19" s="1"/>
  <c r="B53" i="19"/>
  <c r="A53" i="19"/>
  <c r="C53" i="19" s="1"/>
  <c r="B52" i="19"/>
  <c r="A52" i="19"/>
  <c r="C52" i="19" s="1"/>
  <c r="C51" i="19"/>
  <c r="B51" i="19"/>
  <c r="A51" i="19"/>
  <c r="B50" i="19"/>
  <c r="A50" i="19"/>
  <c r="C50" i="19" s="1"/>
  <c r="B49" i="19"/>
  <c r="A49" i="19"/>
  <c r="C49" i="19" s="1"/>
  <c r="B48" i="19"/>
  <c r="A48" i="19"/>
  <c r="C48" i="19" s="1"/>
  <c r="B47" i="19"/>
  <c r="A47" i="19"/>
  <c r="B46" i="19"/>
  <c r="A46" i="19"/>
  <c r="B45" i="19"/>
  <c r="A45" i="19"/>
  <c r="B44" i="19"/>
  <c r="A44" i="19"/>
  <c r="B43" i="19"/>
  <c r="A43" i="19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C19" i="19"/>
  <c r="B3" i="16"/>
  <c r="B9" i="19" s="1"/>
  <c r="B2" i="16"/>
  <c r="B5" i="16" s="1"/>
  <c r="B4" i="18" s="1"/>
  <c r="I2" i="15"/>
  <c r="H2" i="15"/>
  <c r="D2" i="15"/>
  <c r="C2" i="15"/>
  <c r="B2" i="15"/>
  <c r="A2" i="15"/>
  <c r="I2" i="14"/>
  <c r="H2" i="14"/>
  <c r="G2" i="14"/>
  <c r="D2" i="14"/>
  <c r="C2" i="14"/>
  <c r="B2" i="14"/>
  <c r="A2" i="14"/>
  <c r="B2" i="5" s="1"/>
  <c r="G2" i="13"/>
  <c r="F2" i="13"/>
  <c r="D3" i="12"/>
  <c r="H9" i="5" s="1"/>
  <c r="C3" i="12"/>
  <c r="D2" i="12"/>
  <c r="B8" i="18" s="1"/>
  <c r="E18" i="18" s="1"/>
  <c r="C2" i="12"/>
  <c r="F2" i="11"/>
  <c r="E3" i="10"/>
  <c r="D3" i="10"/>
  <c r="E2" i="10"/>
  <c r="D2" i="10"/>
  <c r="B7" i="18" s="1"/>
  <c r="G2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K4" i="7"/>
  <c r="B4" i="7"/>
  <c r="K3" i="7"/>
  <c r="B3" i="7"/>
  <c r="K2" i="7"/>
  <c r="B2" i="7"/>
  <c r="B7" i="16" s="1"/>
  <c r="H26" i="6"/>
  <c r="G26" i="6"/>
  <c r="E26" i="6"/>
  <c r="D26" i="6"/>
  <c r="C26" i="6"/>
  <c r="B26" i="6" a="1"/>
  <c r="B26" i="6" s="1"/>
  <c r="B23" i="6"/>
  <c r="K13" i="6"/>
  <c r="H13" i="6"/>
  <c r="B13" i="6"/>
  <c r="F13" i="6" s="1"/>
  <c r="K12" i="6"/>
  <c r="H12" i="6"/>
  <c r="B12" i="6"/>
  <c r="F12" i="6" s="1"/>
  <c r="K11" i="6"/>
  <c r="H11" i="6"/>
  <c r="B11" i="6"/>
  <c r="F11" i="6" s="1"/>
  <c r="K10" i="6"/>
  <c r="H10" i="6"/>
  <c r="B10" i="6"/>
  <c r="F10" i="6" s="1"/>
  <c r="K9" i="6"/>
  <c r="H9" i="6"/>
  <c r="B9" i="6"/>
  <c r="F9" i="6" s="1"/>
  <c r="K8" i="6"/>
  <c r="H8" i="6"/>
  <c r="B8" i="6"/>
  <c r="F8" i="6" s="1"/>
  <c r="J30" i="5"/>
  <c r="G30" i="5"/>
  <c r="F30" i="5"/>
  <c r="E30" i="5"/>
  <c r="D30" i="5"/>
  <c r="C30" i="5"/>
  <c r="B30" i="5" a="1"/>
  <c r="B30" i="5" s="1"/>
  <c r="B27" i="5"/>
  <c r="K17" i="5"/>
  <c r="H17" i="5"/>
  <c r="F17" i="5"/>
  <c r="B17" i="5"/>
  <c r="K16" i="5"/>
  <c r="H16" i="5"/>
  <c r="F16" i="5"/>
  <c r="B16" i="5"/>
  <c r="K15" i="5"/>
  <c r="H15" i="5"/>
  <c r="F15" i="5"/>
  <c r="B15" i="5"/>
  <c r="K14" i="5"/>
  <c r="H14" i="5"/>
  <c r="F14" i="5"/>
  <c r="B14" i="5"/>
  <c r="K13" i="5"/>
  <c r="H13" i="5"/>
  <c r="F13" i="5"/>
  <c r="B13" i="5"/>
  <c r="K12" i="5"/>
  <c r="H12" i="5"/>
  <c r="F12" i="5"/>
  <c r="B12" i="5"/>
  <c r="K11" i="5"/>
  <c r="H11" i="5"/>
  <c r="F11" i="5"/>
  <c r="B11" i="5"/>
  <c r="K10" i="5"/>
  <c r="H10" i="5"/>
  <c r="F10" i="5"/>
  <c r="B10" i="5"/>
  <c r="K9" i="5"/>
  <c r="F9" i="5"/>
  <c r="B9" i="5"/>
  <c r="K8" i="5"/>
  <c r="H8" i="5"/>
  <c r="F8" i="5"/>
  <c r="B8" i="5"/>
  <c r="J32" i="4"/>
  <c r="H32" i="4"/>
  <c r="G32" i="4"/>
  <c r="F32" i="4"/>
  <c r="E32" i="4"/>
  <c r="D32" i="4"/>
  <c r="C32" i="4"/>
  <c r="B32" i="4" a="1"/>
  <c r="B32" i="4" s="1"/>
  <c r="B29" i="4"/>
  <c r="K17" i="4"/>
  <c r="H17" i="4"/>
  <c r="F17" i="4"/>
  <c r="B17" i="4"/>
  <c r="K16" i="4"/>
  <c r="H16" i="4"/>
  <c r="F16" i="4"/>
  <c r="B16" i="4"/>
  <c r="K15" i="4"/>
  <c r="H15" i="4"/>
  <c r="F15" i="4"/>
  <c r="B15" i="4"/>
  <c r="K14" i="4"/>
  <c r="H14" i="4"/>
  <c r="F14" i="4"/>
  <c r="B14" i="4"/>
  <c r="K13" i="4"/>
  <c r="H13" i="4"/>
  <c r="F13" i="4"/>
  <c r="B13" i="4"/>
  <c r="K12" i="4"/>
  <c r="H12" i="4"/>
  <c r="F12" i="4"/>
  <c r="B12" i="4"/>
  <c r="K11" i="4"/>
  <c r="H11" i="4"/>
  <c r="F11" i="4"/>
  <c r="B11" i="4"/>
  <c r="K10" i="4"/>
  <c r="H10" i="4"/>
  <c r="F10" i="4"/>
  <c r="B10" i="4"/>
  <c r="K9" i="4"/>
  <c r="H9" i="4"/>
  <c r="F9" i="4"/>
  <c r="B9" i="4"/>
  <c r="K8" i="4"/>
  <c r="H8" i="4"/>
  <c r="F8" i="4"/>
  <c r="B8" i="4"/>
  <c r="B2" i="4"/>
  <c r="O19" i="3"/>
  <c r="L19" i="3"/>
  <c r="I19" i="3"/>
  <c r="H19" i="3"/>
  <c r="F19" i="3"/>
  <c r="E19" i="3"/>
  <c r="D19" i="3"/>
  <c r="B19" i="3" a="1"/>
  <c r="B19" i="3" s="1"/>
  <c r="B16" i="3"/>
  <c r="F7" i="3"/>
  <c r="C19" i="3" s="1"/>
  <c r="B2" i="3"/>
  <c r="F31" i="2"/>
  <c r="F30" i="2"/>
  <c r="F29" i="2"/>
  <c r="F28" i="2"/>
  <c r="B2" i="1"/>
  <c r="B8" i="16" l="1"/>
  <c r="B7" i="19" s="1"/>
  <c r="B6" i="18"/>
  <c r="C13" i="18" s="1"/>
  <c r="B6" i="19"/>
  <c r="B6" i="17"/>
  <c r="B15" i="17" s="1"/>
  <c r="E17" i="18"/>
  <c r="C17" i="18"/>
  <c r="E19" i="19"/>
  <c r="B10" i="19"/>
  <c r="G19" i="19"/>
  <c r="F11" i="1"/>
  <c r="B2" i="6"/>
  <c r="B4" i="17"/>
  <c r="B8" i="17"/>
  <c r="C18" i="18"/>
  <c r="B4" i="19"/>
  <c r="B8" i="19"/>
  <c r="B9" i="17"/>
  <c r="B4" i="16"/>
  <c r="C16" i="18" l="1"/>
  <c r="B7" i="17"/>
  <c r="C47" i="19"/>
  <c r="C43" i="19"/>
  <c r="C39" i="19"/>
  <c r="C41" i="19"/>
  <c r="C37" i="19"/>
  <c r="C46" i="19"/>
  <c r="C38" i="19"/>
  <c r="B3" i="19"/>
  <c r="B3" i="17"/>
  <c r="B16" i="17" s="1"/>
  <c r="B19" i="17" s="1"/>
  <c r="B3" i="18"/>
  <c r="C14" i="18" s="1"/>
  <c r="B6" i="16"/>
  <c r="B11" i="1"/>
  <c r="C59" i="19"/>
  <c r="C44" i="19"/>
  <c r="C36" i="19"/>
  <c r="C40" i="19"/>
  <c r="C18" i="19"/>
  <c r="G18" i="19"/>
  <c r="E18" i="19"/>
  <c r="C17" i="19"/>
  <c r="C45" i="19"/>
  <c r="C42" i="19"/>
  <c r="B20" i="17"/>
  <c r="G17" i="19"/>
  <c r="E17" i="19"/>
  <c r="B73" i="19" l="1"/>
  <c r="B72" i="19"/>
  <c r="B25" i="17"/>
  <c r="B27" i="17" s="1"/>
  <c r="B31" i="17" s="1"/>
  <c r="B24" i="17"/>
  <c r="B26" i="17" s="1"/>
  <c r="G16" i="19"/>
  <c r="E16" i="19"/>
  <c r="C16" i="19"/>
  <c r="B71" i="19"/>
  <c r="B70" i="19"/>
  <c r="B5" i="18"/>
  <c r="C15" i="18" s="1"/>
  <c r="B24" i="18" s="1" a="1"/>
  <c r="B24" i="18" s="1"/>
  <c r="B32" i="18" s="1"/>
  <c r="B5" i="19"/>
  <c r="B5" i="17"/>
  <c r="B35" i="18" l="1"/>
  <c r="B26" i="18" a="1"/>
  <c r="B26" i="18" s="1"/>
  <c r="B34" i="18" s="1"/>
  <c r="D34" i="18" s="1"/>
  <c r="E32" i="18"/>
  <c r="J18" i="1" s="1"/>
  <c r="D32" i="18"/>
  <c r="G32" i="18"/>
  <c r="C32" i="18"/>
  <c r="B18" i="1" s="1"/>
  <c r="F32" i="18"/>
  <c r="E34" i="18"/>
  <c r="J20" i="1" s="1"/>
  <c r="G34" i="18"/>
  <c r="F34" i="18"/>
  <c r="B25" i="18" a="1"/>
  <c r="B25" i="18" s="1"/>
  <c r="B33" i="18" s="1"/>
  <c r="B23" i="18" a="1"/>
  <c r="B23" i="18" s="1"/>
  <c r="B31" i="18" s="1"/>
  <c r="E14" i="19"/>
  <c r="E15" i="19"/>
  <c r="B22" i="18" a="1"/>
  <c r="B22" i="18" s="1"/>
  <c r="B30" i="18" s="1"/>
  <c r="B35" i="17"/>
  <c r="B34" i="17"/>
  <c r="B30" i="17"/>
  <c r="B33" i="17"/>
  <c r="B8" i="1" s="1"/>
  <c r="B32" i="17"/>
  <c r="B7" i="1" s="1"/>
  <c r="G14" i="19"/>
  <c r="C14" i="19"/>
  <c r="G15" i="19"/>
  <c r="C15" i="19"/>
  <c r="C34" i="18" l="1"/>
  <c r="B20" i="1" s="1"/>
  <c r="E30" i="18"/>
  <c r="J16" i="1" s="1"/>
  <c r="D30" i="18"/>
  <c r="G30" i="18"/>
  <c r="C30" i="18"/>
  <c r="B16" i="1" s="1"/>
  <c r="F30" i="18"/>
  <c r="G33" i="18"/>
  <c r="C33" i="18"/>
  <c r="B19" i="1" s="1"/>
  <c r="F33" i="18"/>
  <c r="E33" i="18"/>
  <c r="J19" i="1" s="1"/>
  <c r="D33" i="18"/>
  <c r="B24" i="19" a="1"/>
  <c r="B24" i="19" s="1"/>
  <c r="B30" i="19" s="1"/>
  <c r="B22" i="19" a="1"/>
  <c r="B22" i="19" s="1"/>
  <c r="B28" i="19" s="1"/>
  <c r="B31" i="19"/>
  <c r="B23" i="19" a="1"/>
  <c r="B23" i="19" s="1"/>
  <c r="B29" i="19" s="1"/>
  <c r="G31" i="18"/>
  <c r="C31" i="18"/>
  <c r="B17" i="1" s="1"/>
  <c r="F31" i="18"/>
  <c r="E31" i="18"/>
  <c r="J17" i="1" s="1"/>
  <c r="D31" i="18"/>
  <c r="D29" i="19" l="1"/>
  <c r="G29" i="19"/>
  <c r="C29" i="19"/>
  <c r="F29" i="19"/>
  <c r="E29" i="19"/>
  <c r="F28" i="19"/>
  <c r="E28" i="19"/>
  <c r="D28" i="19"/>
  <c r="B24" i="1" s="1"/>
  <c r="G28" i="19"/>
  <c r="C28" i="19"/>
  <c r="F30" i="19"/>
  <c r="E30" i="19"/>
  <c r="D30" i="19"/>
  <c r="G30" i="19"/>
  <c r="C30" i="19"/>
</calcChain>
</file>

<file path=xl/sharedStrings.xml><?xml version="1.0" encoding="utf-8"?>
<sst xmlns="http://schemas.openxmlformats.org/spreadsheetml/2006/main" count="675" uniqueCount="400">
  <si>
    <t>Home</t>
  </si>
  <si>
    <t>Quick Add</t>
  </si>
  <si>
    <t>Bills</t>
  </si>
  <si>
    <t>Clients</t>
  </si>
  <si>
    <t>Goals</t>
  </si>
  <si>
    <t>Insights</t>
  </si>
  <si>
    <t>Business health</t>
  </si>
  <si>
    <t>Money in this month</t>
  </si>
  <si>
    <t>Money out this month</t>
  </si>
  <si>
    <t>Needs attention</t>
  </si>
  <si>
    <t>This week</t>
  </si>
  <si>
    <t>Riverside Design Studio</t>
  </si>
  <si>
    <t>Settings</t>
  </si>
  <si>
    <t>Business information</t>
  </si>
  <si>
    <t>Business name</t>
  </si>
  <si>
    <t>Owner name (optional)</t>
  </si>
  <si>
    <t>Industry</t>
  </si>
  <si>
    <t>Freelance</t>
  </si>
  <si>
    <t>Currency</t>
  </si>
  <si>
    <t>USD</t>
  </si>
  <si>
    <t>Fiscal year start</t>
  </si>
  <si>
    <t>January</t>
  </si>
  <si>
    <t>Time zone</t>
  </si>
  <si>
    <t>America/New_York</t>
  </si>
  <si>
    <t>Appearance</t>
  </si>
  <si>
    <t>Theme</t>
  </si>
  <si>
    <t>Light</t>
  </si>
  <si>
    <t>Accent color</t>
  </si>
  <si>
    <t>Set by product (not user-editable in V1)</t>
  </si>
  <si>
    <t>Logo</t>
  </si>
  <si>
    <t>No logo uploaded</t>
  </si>
  <si>
    <t>Preferences</t>
  </si>
  <si>
    <t>Default date format</t>
  </si>
  <si>
    <t>MM/DD/YYYY</t>
  </si>
  <si>
    <t>Week start</t>
  </si>
  <si>
    <t>Sunday</t>
  </si>
  <si>
    <t>Number format</t>
  </si>
  <si>
    <t>US format</t>
  </si>
  <si>
    <t>Product information</t>
  </si>
  <si>
    <t>Version</t>
  </si>
  <si>
    <t>Build number</t>
  </si>
  <si>
    <t>Last updated</t>
  </si>
  <si>
    <t>License</t>
  </si>
  <si>
    <t>What happened?</t>
  </si>
  <si>
    <t>Date</t>
  </si>
  <si>
    <t>Money direction</t>
  </si>
  <si>
    <t>In</t>
  </si>
  <si>
    <t>Amount</t>
  </si>
  <si>
    <t>Category</t>
  </si>
  <si>
    <t>Other income</t>
  </si>
  <si>
    <t>Vendor / client</t>
  </si>
  <si>
    <t>Blue Harbor Cafe</t>
  </si>
  <si>
    <t>Description</t>
  </si>
  <si>
    <t>Website design deposit</t>
  </si>
  <si>
    <t>Notes (optional)</t>
  </si>
  <si>
    <t>50% upfront payment</t>
  </si>
  <si>
    <t>This part is a manual step for now: select the row below, copy it, then paste it (as values) into the first empty row of your Transactions log. A future version may remove this step. See the developer notes for why this is required today.</t>
  </si>
  <si>
    <t>TransactionID</t>
  </si>
  <si>
    <t>Direction</t>
  </si>
  <si>
    <t>CategoryID</t>
  </si>
  <si>
    <t>CustomerID</t>
  </si>
  <si>
    <t>VendorID</t>
  </si>
  <si>
    <t>RelatedInvoiceID</t>
  </si>
  <si>
    <t>RelatedBillID</t>
  </si>
  <si>
    <t>IsRecurring</t>
  </si>
  <si>
    <t>RecurrenceSourceID</t>
  </si>
  <si>
    <t>EntryMethod</t>
  </si>
  <si>
    <t>CreatedTimestamp</t>
  </si>
  <si>
    <t>QuickAdd</t>
  </si>
  <si>
    <t>Bills &amp; Subscriptions</t>
  </si>
  <si>
    <t>Upcoming &amp; overdue</t>
  </si>
  <si>
    <t>Vendor</t>
  </si>
  <si>
    <t>Due date</t>
  </si>
  <si>
    <t>Status</t>
  </si>
  <si>
    <t>Add a bill</t>
  </si>
  <si>
    <t>Recurring?</t>
  </si>
  <si>
    <t>Recurrence frequency</t>
  </si>
  <si>
    <t>Same manual step as Quick Add: select the row below, copy it, then paste it (as values) into the first empty row of your Bills table.</t>
  </si>
  <si>
    <t>BillID</t>
  </si>
  <si>
    <t>DueDate</t>
  </si>
  <si>
    <t>RecurrenceFrequency</t>
  </si>
  <si>
    <t>LinkedTransactionID</t>
  </si>
  <si>
    <t>Notes</t>
  </si>
  <si>
    <t>Clients &amp; Invoices</t>
  </si>
  <si>
    <t>Invoices</t>
  </si>
  <si>
    <t>Client</t>
  </si>
  <si>
    <t>Add an invoice</t>
  </si>
  <si>
    <t>Same manual step as Quick Add and Bills: select the row below, copy it, then paste it (as values) into the first empty row of your Invoices table.</t>
  </si>
  <si>
    <t>InvoiceID</t>
  </si>
  <si>
    <t>IssueDate</t>
  </si>
  <si>
    <t>PaidDate</t>
  </si>
  <si>
    <t>Your goals</t>
  </si>
  <si>
    <t>Goal</t>
  </si>
  <si>
    <t>Progress</t>
  </si>
  <si>
    <t>Target date</t>
  </si>
  <si>
    <t>Add a goal</t>
  </si>
  <si>
    <t>Goal name</t>
  </si>
  <si>
    <t>Goal type</t>
  </si>
  <si>
    <t>Target amount</t>
  </si>
  <si>
    <t>Target date (optional)</t>
  </si>
  <si>
    <t>Same manual step as Quick Add, Bills, and Clients: select the row below, copy it, then paste it (as values) into the first empty row of your Goals table. New goals start at zero progress and Active status.</t>
  </si>
  <si>
    <t>GoalID</t>
  </si>
  <si>
    <t>GoalName</t>
  </si>
  <si>
    <t>GoalType</t>
  </si>
  <si>
    <t>TargetAmount</t>
  </si>
  <si>
    <t>CurrentAmount</t>
  </si>
  <si>
    <t>StartDate</t>
  </si>
  <si>
    <t>TargetDate</t>
  </si>
  <si>
    <t>IconTag</t>
  </si>
  <si>
    <t>Active</t>
  </si>
  <si>
    <t>flag</t>
  </si>
  <si>
    <t>TXN-000482</t>
  </si>
  <si>
    <t>Out</t>
  </si>
  <si>
    <t>CAT-007</t>
  </si>
  <si>
    <t>Coffee shop supplies</t>
  </si>
  <si>
    <t>VEN-007</t>
  </si>
  <si>
    <t>Sample</t>
  </si>
  <si>
    <t>Sample data</t>
  </si>
  <si>
    <t>TXN-000483</t>
  </si>
  <si>
    <t>CAT-001</t>
  </si>
  <si>
    <t>CUS-001</t>
  </si>
  <si>
    <t>TXN-000484</t>
  </si>
  <si>
    <t>Supply order</t>
  </si>
  <si>
    <t>CategoryName</t>
  </si>
  <si>
    <t>IsSystemDefault</t>
  </si>
  <si>
    <t>IsArchived</t>
  </si>
  <si>
    <t>Client payments</t>
  </si>
  <si>
    <t>money-in</t>
  </si>
  <si>
    <t>CAT-002</t>
  </si>
  <si>
    <t>Product sales</t>
  </si>
  <si>
    <t>cart</t>
  </si>
  <si>
    <t>CAT-003</t>
  </si>
  <si>
    <t>plus-circle</t>
  </si>
  <si>
    <t>CAT-004</t>
  </si>
  <si>
    <t>Rent</t>
  </si>
  <si>
    <t>building</t>
  </si>
  <si>
    <t>CAT-005</t>
  </si>
  <si>
    <t>Utilities</t>
  </si>
  <si>
    <t>bolt</t>
  </si>
  <si>
    <t>CAT-006</t>
  </si>
  <si>
    <t>Software subscriptions</t>
  </si>
  <si>
    <t>laptop</t>
  </si>
  <si>
    <t>Supplies</t>
  </si>
  <si>
    <t>box</t>
  </si>
  <si>
    <t>CAT-008</t>
  </si>
  <si>
    <t>Payroll</t>
  </si>
  <si>
    <t>users</t>
  </si>
  <si>
    <t>CAT-009</t>
  </si>
  <si>
    <t>Marketing</t>
  </si>
  <si>
    <t>megaphone</t>
  </si>
  <si>
    <t>CAT-010</t>
  </si>
  <si>
    <t>Insurance</t>
  </si>
  <si>
    <t>shield</t>
  </si>
  <si>
    <t>CAT-011</t>
  </si>
  <si>
    <t>Contractor payments</t>
  </si>
  <si>
    <t>briefcase</t>
  </si>
  <si>
    <t>CAT-012</t>
  </si>
  <si>
    <t>Other expenses</t>
  </si>
  <si>
    <t>dots</t>
  </si>
  <si>
    <t>VendorName</t>
  </si>
  <si>
    <t>Email</t>
  </si>
  <si>
    <t>Phone</t>
  </si>
  <si>
    <t>DefaultCategoryID</t>
  </si>
  <si>
    <t>City Wholesale Supplies</t>
  </si>
  <si>
    <t>orders@citywholesale.com</t>
  </si>
  <si>
    <t>555-0142</t>
  </si>
  <si>
    <t>BILL-0001</t>
  </si>
  <si>
    <t>Monthly</t>
  </si>
  <si>
    <t>Upcoming</t>
  </si>
  <si>
    <t>Software subscription</t>
  </si>
  <si>
    <t>BILL-0002</t>
  </si>
  <si>
    <t>None</t>
  </si>
  <si>
    <t>Overdue</t>
  </si>
  <si>
    <t>Supply order invoice</t>
  </si>
  <si>
    <t>CustomerName</t>
  </si>
  <si>
    <t>hello@blueharborcafe.com</t>
  </si>
  <si>
    <t>INV-0001</t>
  </si>
  <si>
    <t>Logo design project</t>
  </si>
  <si>
    <t>INV-0002</t>
  </si>
  <si>
    <t>Sent</t>
  </si>
  <si>
    <t>Website update</t>
  </si>
  <si>
    <t>GOAL-001</t>
  </si>
  <si>
    <t>Emergency Fund</t>
  </si>
  <si>
    <t>Savings</t>
  </si>
  <si>
    <t>BusinessName</t>
  </si>
  <si>
    <t>BusinessType</t>
  </si>
  <si>
    <t>FiscalYearStartMonth</t>
  </si>
  <si>
    <t>StartingCashBalance</t>
  </si>
  <si>
    <t>SetupCompletedDate</t>
  </si>
  <si>
    <t>LogoPlaceholder</t>
  </si>
  <si>
    <t>OwnerName</t>
  </si>
  <si>
    <t>TimeZone</t>
  </si>
  <si>
    <t>DateFormatPreference</t>
  </si>
  <si>
    <t>WeekStartDay</t>
  </si>
  <si>
    <t>InsightsEnabled</t>
  </si>
  <si>
    <t>CelebrationAnimationsEnabled</t>
  </si>
  <si>
    <t>DefaultInvoiceDueDays</t>
  </si>
  <si>
    <t>LastBriefingGeneratedDate</t>
  </si>
  <si>
    <t>AppVersion</t>
  </si>
  <si>
    <t>NumberFormat</t>
  </si>
  <si>
    <t>BuildNumber</t>
  </si>
  <si>
    <t>LastUpdated</t>
  </si>
  <si>
    <t>1.0.4</t>
  </si>
  <si>
    <t>2026.10.12-001</t>
  </si>
  <si>
    <t>Licensed to Riverside Design Studio</t>
  </si>
  <si>
    <t>Current Month</t>
  </si>
  <si>
    <t>Previous Month</t>
  </si>
  <si>
    <t>Money In This Month</t>
  </si>
  <si>
    <t>Money Out This Month</t>
  </si>
  <si>
    <t>Net Cash Flow</t>
  </si>
  <si>
    <t>Transaction Count</t>
  </si>
  <si>
    <t>Average Transaction</t>
  </si>
  <si>
    <t>SECTION 1: INPUTS (from _calc_Core only)</t>
  </si>
  <si>
    <t>Cash Runway (months) - TODO: not yet available, pending Cash Runway calc engine</t>
  </si>
  <si>
    <t>Overdue Bills Count - TODO: not yet available, pending Bills data layer</t>
  </si>
  <si>
    <t>Overdue Invoices Count - TODO: not yet available, pending Invoices data layer</t>
  </si>
  <si>
    <t>SECTION 2: INTERMEDIATE CALCULATIONS</t>
  </si>
  <si>
    <t>Has Activity This Month</t>
  </si>
  <si>
    <t>Cash Flow Ratio (Money In / Money Out)</t>
  </si>
  <si>
    <t>SECTION 3: THRESHOLD EVALUATION (weighted scoring)</t>
  </si>
  <si>
    <t>Cash Flow Score (0-50) - REAL</t>
  </si>
  <si>
    <t>Activity Score (0-10) - REAL</t>
  </si>
  <si>
    <t>Cash Runway Score (0-25) - PLACEHOLDER, not yet implemented</t>
  </si>
  <si>
    <t>Bills Score (0-10) - PLACEHOLDER, not yet implemented</t>
  </si>
  <si>
    <t>Invoice Score (0-5) - PLACEHOLDER, not yet implemented</t>
  </si>
  <si>
    <t>Partial Score (Cash Flow + Activity only - drives State today)</t>
  </si>
  <si>
    <t>Total Score (all 5 components - nominal 0-100, not yet meaningful)</t>
  </si>
  <si>
    <t>Health State (raw)</t>
  </si>
  <si>
    <t>Health Score (raw, -1 sentinel for Getting started)</t>
  </si>
  <si>
    <t>SECTION 4: OUTPUT VALUES</t>
  </si>
  <si>
    <t>Health State (final)</t>
  </si>
  <si>
    <t>Health Score (final)</t>
  </si>
  <si>
    <t>Health Title</t>
  </si>
  <si>
    <t>Health Subtitle</t>
  </si>
  <si>
    <t>Health Color</t>
  </si>
  <si>
    <t>Health Icon</t>
  </si>
  <si>
    <t>Reference: state lookup table (Section 4 support data)</t>
  </si>
  <si>
    <t>State</t>
  </si>
  <si>
    <t>Representative Score</t>
  </si>
  <si>
    <t>Title</t>
  </si>
  <si>
    <t>Subtitle</t>
  </si>
  <si>
    <t>Color</t>
  </si>
  <si>
    <t>Icon</t>
  </si>
  <si>
    <t>Getting started</t>
  </si>
  <si>
    <t>Log your first transaction to see your business health</t>
  </si>
  <si>
    <t>Neutral</t>
  </si>
  <si>
    <t>Critical</t>
  </si>
  <si>
    <t>Spending is significantly outpacing income this month</t>
  </si>
  <si>
    <t>alert-triangle</t>
  </si>
  <si>
    <t>Warning</t>
  </si>
  <si>
    <t>Caution</t>
  </si>
  <si>
    <t>Spending is higher than income this month</t>
  </si>
  <si>
    <t>alert-circle</t>
  </si>
  <si>
    <t>Fair</t>
  </si>
  <si>
    <t>Steady</t>
  </si>
  <si>
    <t>Income and spending are about even this month</t>
  </si>
  <si>
    <t>minus-circle</t>
  </si>
  <si>
    <t>Good</t>
  </si>
  <si>
    <t>Income is ahead of spending this month</t>
  </si>
  <si>
    <t>Success</t>
  </si>
  <si>
    <t>trending-up</t>
  </si>
  <si>
    <t>Excellent</t>
  </si>
  <si>
    <t>Income is well ahead of spending this month</t>
  </si>
  <si>
    <t>star</t>
  </si>
  <si>
    <t>Overdue Bills Count</t>
  </si>
  <si>
    <t>Overdue Invoices Count</t>
  </si>
  <si>
    <t>Upcoming Loan Payments - TODO: not yet available, pending Loans data layer</t>
  </si>
  <si>
    <t>SECTION 2: RULE EVALUATION</t>
  </si>
  <si>
    <t>RuleID</t>
  </si>
  <si>
    <t>Priority</t>
  </si>
  <si>
    <t>Fired</t>
  </si>
  <si>
    <t>Severity</t>
  </si>
  <si>
    <t>Source</t>
  </si>
  <si>
    <t>R1</t>
  </si>
  <si>
    <t>Get started</t>
  </si>
  <si>
    <t>No transactions logged yet this month. Add one to see your business health.</t>
  </si>
  <si>
    <t>Info</t>
  </si>
  <si>
    <t>_calc_Core</t>
  </si>
  <si>
    <t>R2</t>
  </si>
  <si>
    <t>No income logged</t>
  </si>
  <si>
    <t>You haven't logged any income this month yet.</t>
  </si>
  <si>
    <t>R3</t>
  </si>
  <si>
    <t>Spending more than you're making</t>
  </si>
  <si>
    <t>Your expenses this month are higher than your income so far.</t>
  </si>
  <si>
    <t>R4</t>
  </si>
  <si>
    <t>No expenses logged</t>
  </si>
  <si>
    <t>You've logged income this month but no expenses yet - worth double-checking you haven't missed any.</t>
  </si>
  <si>
    <t>info-circle</t>
  </si>
  <si>
    <t>R5</t>
  </si>
  <si>
    <t>Overdue bills</t>
  </si>
  <si>
    <t>tbl_Bills</t>
  </si>
  <si>
    <t>R6</t>
  </si>
  <si>
    <t>Overdue invoices</t>
  </si>
  <si>
    <t>tbl_Invoices</t>
  </si>
  <si>
    <t>R7</t>
  </si>
  <si>
    <t>TODO: Upcoming loan payment</t>
  </si>
  <si>
    <t>TODO: not yet available, pending Loans data layer</t>
  </si>
  <si>
    <t>TODO</t>
  </si>
  <si>
    <t>tbl_Loans (not yet built)</t>
  </si>
  <si>
    <t>SECTION 3: PRIORITY SORTING</t>
  </si>
  <si>
    <t>Slot 1 Priority</t>
  </si>
  <si>
    <t>Slot 2 Priority</t>
  </si>
  <si>
    <t>Slot 3 Priority</t>
  </si>
  <si>
    <t>Slot 4 Priority</t>
  </si>
  <si>
    <t>Slot 5 Priority</t>
  </si>
  <si>
    <t>Output Item</t>
  </si>
  <si>
    <t>Item 1</t>
  </si>
  <si>
    <t>Item 2</t>
  </si>
  <si>
    <t>Item 3</t>
  </si>
  <si>
    <t>Item 4</t>
  </si>
  <si>
    <t>Item 5</t>
  </si>
  <si>
    <t>Item Count (total rules fired)</t>
  </si>
  <si>
    <t>Goal Progress</t>
  </si>
  <si>
    <t>Message</t>
  </si>
  <si>
    <t>InsightType</t>
  </si>
  <si>
    <t>SupportingValue</t>
  </si>
  <si>
    <t>Your biggest expense</t>
  </si>
  <si>
    <t>Spending Pattern</t>
  </si>
  <si>
    <t>bar-chart</t>
  </si>
  <si>
    <t>Your top vendor</t>
  </si>
  <si>
    <t>Vendor Pattern</t>
  </si>
  <si>
    <t>Income this month</t>
  </si>
  <si>
    <t>Summary</t>
  </si>
  <si>
    <t>Average transaction size</t>
  </si>
  <si>
    <t>activity</t>
  </si>
  <si>
    <t>Transactions logged</t>
  </si>
  <si>
    <t>Activity</t>
  </si>
  <si>
    <t>list</t>
  </si>
  <si>
    <t>Goal progress</t>
  </si>
  <si>
    <t>target</t>
  </si>
  <si>
    <t>SECTION 3: RANKING (Top 3)</t>
  </si>
  <si>
    <t>DisplayOrder</t>
  </si>
  <si>
    <t>Insight Item Count (total rules fired)</t>
  </si>
  <si>
    <t>SECTION 5: LOOKUP TABLES (support data)</t>
  </si>
  <si>
    <t>Category Spend This Month (helper)</t>
  </si>
  <si>
    <t>SpendThisMonth</t>
  </si>
  <si>
    <t>Vendor Spend This Month (helper)</t>
  </si>
  <si>
    <t>Top Category Name</t>
  </si>
  <si>
    <t>Top Category Amount</t>
  </si>
  <si>
    <t>Top Vendor Name</t>
  </si>
  <si>
    <t>Top Vendor Amount</t>
  </si>
  <si>
    <t>Primary Active Goal Name</t>
  </si>
  <si>
    <t>Primary Active Goal Target</t>
  </si>
  <si>
    <t>Primary Active Goal Current</t>
  </si>
  <si>
    <t>Primary Active Goal Progress %</t>
  </si>
  <si>
    <t>Month</t>
  </si>
  <si>
    <t>WeekStart</t>
  </si>
  <si>
    <t>DateFormat</t>
  </si>
  <si>
    <t>TransactionDirection</t>
  </si>
  <si>
    <t>CategoryDirection</t>
  </si>
  <si>
    <t>BooleanChoice</t>
  </si>
  <si>
    <t>BillStatus</t>
  </si>
  <si>
    <t>InvoiceStatus</t>
  </si>
  <si>
    <t>GoalStatus</t>
  </si>
  <si>
    <t>PayeeNames</t>
  </si>
  <si>
    <t>CurrencyCode</t>
  </si>
  <si>
    <t>CurrencySymbol</t>
  </si>
  <si>
    <t>TRUE</t>
  </si>
  <si>
    <t>Weekly</t>
  </si>
  <si>
    <t>Draft</t>
  </si>
  <si>
    <t>$</t>
  </si>
  <si>
    <t>GBP</t>
  </si>
  <si>
    <t>Retail</t>
  </si>
  <si>
    <t>February</t>
  </si>
  <si>
    <t>Monday</t>
  </si>
  <si>
    <t>America/Chicago</t>
  </si>
  <si>
    <t>DD/MM/YYYY</t>
  </si>
  <si>
    <t>European format</t>
  </si>
  <si>
    <t>FALSE</t>
  </si>
  <si>
    <t>Paid</t>
  </si>
  <si>
    <t>Revenue Target</t>
  </si>
  <si>
    <t>Achieved</t>
  </si>
  <si>
    <t>£</t>
  </si>
  <si>
    <t>EUR</t>
  </si>
  <si>
    <t>Service</t>
  </si>
  <si>
    <t>March</t>
  </si>
  <si>
    <t>America/Denver</t>
  </si>
  <si>
    <t>Both</t>
  </si>
  <si>
    <t>Quarterly</t>
  </si>
  <si>
    <t>Debt Payoff</t>
  </si>
  <si>
    <t>Archived</t>
  </si>
  <si>
    <t>€</t>
  </si>
  <si>
    <t>CAD</t>
  </si>
  <si>
    <t>Other</t>
  </si>
  <si>
    <t>April</t>
  </si>
  <si>
    <t>America/Los_Angeles</t>
  </si>
  <si>
    <t>Annually</t>
  </si>
  <si>
    <t>AUD</t>
  </si>
  <si>
    <t>May</t>
  </si>
  <si>
    <t>UTC</t>
  </si>
  <si>
    <t>Void</t>
  </si>
  <si>
    <t>PKR</t>
  </si>
  <si>
    <t>June</t>
  </si>
  <si>
    <t xml:space="preserve">Rs 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</si>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</sst>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0%;\-0%;0%"/>
    <numFmt numFmtId="165" formatCode="\$#,##0"/>
    <numFmt numFmtId="166" formatCode="mm/dd/yyyy"/>
    <numFmt numFmtId="167" formatCode="\$#,##0.00"/>
    <numFmt numFmtId="168" formatCode="mm/dd/yyyy\ hh:mm:ss"/>
    <numFmt numFmtId="169" formatCode="yyyy\-mm\-dd"/>
  </numFmts>
  <fonts count="20">
    <font>
      <sz val="11"/>
      <color theme="1"/>
      <name val="Calibri"/>
      <family val="2"/>
      <charset val="1"/>
    </font>
    <font>
      <b/>
      <sz val="18"/>
      <color rgb="FF26211C"/>
      <name val="Aptos"/>
      <charset val="1"/>
    </font>
    <font>
      <b/>
      <sz val="14"/>
      <color rgb="FF26211C"/>
      <name val="Aptos"/>
      <charset val="1"/>
    </font>
    <font>
      <sz val="14"/>
      <color rgb="FF5F5E5A"/>
      <name val="Aptos"/>
      <charset val="1"/>
    </font>
    <font>
      <b/>
      <sz val="22"/>
      <color rgb="FF26211C"/>
      <name val="Aptos"/>
      <charset val="1"/>
    </font>
    <font>
      <sz val="12"/>
      <color rgb="FF5F5E5A"/>
      <name val="Aptos"/>
      <charset val="1"/>
    </font>
    <font>
      <b/>
      <sz val="32"/>
      <color rgb="FF26211C"/>
      <name val="Aptos"/>
      <charset val="1"/>
    </font>
    <font>
      <b/>
      <sz val="24"/>
      <color rgb="FF26211C"/>
      <name val="Aptos"/>
      <charset val="1"/>
    </font>
    <font>
      <sz val="14"/>
      <color rgb="FF26211C"/>
      <name val="Aptos"/>
      <charset val="1"/>
    </font>
    <font>
      <sz val="13"/>
      <color rgb="FF5F5E5A"/>
      <name val="Aptos"/>
      <charset val="1"/>
    </font>
    <font>
      <sz val="14"/>
      <color rgb="FFB4B2A9"/>
      <name val="Aptos"/>
      <charset val="1"/>
    </font>
    <font>
      <b/>
      <sz val="9"/>
      <color rgb="FF26211C"/>
      <name val="Aptos"/>
      <charset val="1"/>
    </font>
    <font>
      <sz val="9"/>
      <color rgb="FF26211C"/>
      <name val="Aptos"/>
      <charset val="1"/>
    </font>
    <font>
      <b/>
      <sz val="11"/>
      <color rgb="FF5F5E5A"/>
      <name val="Aptos"/>
      <charset val="1"/>
    </font>
    <font>
      <sz val="12"/>
      <color rgb="FF26211C"/>
      <name val="Aptos"/>
      <charset val="1"/>
    </font>
    <font>
      <b/>
      <sz val="11"/>
      <color rgb="FF26211C"/>
      <name val="Aptos"/>
      <charset val="1"/>
    </font>
    <font>
      <b/>
      <sz val="12"/>
      <color rgb="FF26211C"/>
      <name val="Aptos"/>
      <charset val="1"/>
    </font>
    <font>
      <sz val="11"/>
      <color rgb="FF26211C"/>
      <name val="Aptos"/>
      <charset val="1"/>
    </font>
    <font>
      <sz val="10"/>
      <color rgb="FF26211C"/>
      <name val="Aptos"/>
      <charset val="1"/>
    </font>
    <font>
      <b/>
      <sz val="10"/>
      <color rgb="FF26211C"/>
      <name val="Aptos"/>
      <charset val="1"/>
    </font>
  </fonts>
  <fills count="9">
    <fill>
      <patternFill patternType="none"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4E2DA"/>
      </bottom>
      <diagonal/>
    </border>
    <border>
      <left style="thin">
        <color rgb="FFE4E2DA"/>
      </left>
      <right style="thin">
        <color rgb="FFE4E2DA"/>
      </right>
      <top style="thin">
        <color rgb="FFE4E2DA"/>
      </top>
      <bottom/>
      <diagonal/>
    </border>
    <border>
      <left style="thin">
        <color rgb="FFE4E2DA"/>
      </left>
      <right/>
      <top/>
      <bottom style="thin">
        <color rgb="FFE4E2DA"/>
      </bottom>
      <diagonal/>
    </border>
    <border>
      <left/>
      <right style="thin">
        <color rgb="FFE4E2DA"/>
      </right>
      <top/>
      <bottom style="thin">
        <color rgb="FFE4E2DA"/>
      </bottom>
      <diagonal/>
    </border>
    <border>
      <left style="thin">
        <color rgb="FFE4E2DA"/>
      </left>
      <right/>
      <top/>
      <bottom/>
      <diagonal/>
    </border>
    <border>
      <left/>
      <right style="thin">
        <color rgb="FFE4E2DA"/>
      </right>
      <top/>
      <bottom/>
      <diagonal/>
    </border>
    <border>
      <left style="thin">
        <color rgb="FFE4E2DA"/>
      </left>
      <right style="thin">
        <color rgb="FFE4E2DA"/>
      </right>
      <top/>
      <bottom/>
      <diagonal/>
    </border>
    <border>
      <left/>
      <right/>
      <top style="thin">
        <color rgb="FFE4E2DA"/>
      </top>
      <bottom/>
      <diagonal/>
    </border>
    <border>
      <left/>
      <right style="thin">
        <color rgb="FFE4E2DA"/>
      </right>
      <top style="thin">
        <color rgb="FFE4E2DA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8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0" fillId="3" borderId="4" xfId="0" applyFill="1" applyBorder="1"/>
    <xf numFmtId="0" fontId="8" fillId="3" borderId="5" xfId="0" applyFont="1" applyFill="1" applyBorder="1" applyAlignment="1">
      <alignment horizontal="left" vertical="center"/>
    </xf>
    <xf numFmtId="0" fontId="0" fillId="3" borderId="0" xfId="0" applyFill="1"/>
    <xf numFmtId="0" fontId="8" fillId="3" borderId="0" xfId="0" applyFont="1" applyFill="1" applyAlignment="1">
      <alignment horizontal="right" vertical="center"/>
    </xf>
    <xf numFmtId="0" fontId="0" fillId="3" borderId="6" xfId="0" applyFill="1" applyBorder="1"/>
    <xf numFmtId="0" fontId="0" fillId="3" borderId="3" xfId="0" applyFill="1" applyBorder="1"/>
    <xf numFmtId="0" fontId="11" fillId="5" borderId="0" xfId="0" applyFont="1" applyFill="1"/>
    <xf numFmtId="0" fontId="12" fillId="5" borderId="0" xfId="0" applyFont="1" applyFill="1"/>
    <xf numFmtId="0" fontId="0" fillId="5" borderId="0" xfId="0" applyFill="1"/>
    <xf numFmtId="0" fontId="15" fillId="6" borderId="0" xfId="0" applyFont="1" applyFill="1"/>
    <xf numFmtId="0" fontId="0" fillId="0" borderId="0" xfId="0"/>
    <xf numFmtId="1" fontId="0" fillId="0" borderId="0" xfId="0" applyNumberFormat="1"/>
    <xf numFmtId="0" fontId="17" fillId="6" borderId="0" xfId="0" applyFont="1" applyFill="1"/>
    <xf numFmtId="1" fontId="17" fillId="6" borderId="0" xfId="0" applyNumberFormat="1" applyFont="1" applyFill="1"/>
    <xf numFmtId="0" fontId="17" fillId="8" borderId="0" xfId="0" applyFont="1" applyFill="1"/>
    <xf numFmtId="2" fontId="17" fillId="6" borderId="0" xfId="0" applyNumberFormat="1" applyFont="1" applyFill="1"/>
    <xf numFmtId="1" fontId="17" fillId="8" borderId="0" xfId="0" applyNumberFormat="1" applyFont="1" applyFill="1"/>
    <xf numFmtId="0" fontId="18" fillId="3" borderId="0" xfId="0" applyFont="1" applyFill="1"/>
    <xf numFmtId="0" fontId="18" fillId="8" borderId="0" xfId="0" applyFont="1" applyFill="1"/>
    <xf numFmtId="0" fontId="18" fillId="0" borderId="0" xfId="0" applyFont="1"/>
    <xf numFmtId="9" fontId="17" fillId="8" borderId="0" xfId="0" applyNumberFormat="1" applyFont="1" applyFill="1"/>
    <xf numFmtId="1" fontId="18" fillId="3" borderId="0" xfId="0" applyNumberFormat="1" applyFont="1" applyFill="1"/>
    <xf numFmtId="9" fontId="18" fillId="3" borderId="0" xfId="0" applyNumberFormat="1" applyFont="1" applyFill="1"/>
    <xf numFmtId="0" fontId="19" fillId="6" borderId="0" xfId="0" applyFont="1" applyFill="1"/>
    <xf numFmtId="9" fontId="17" fillId="6" borderId="0" xfId="0" applyNumberFormat="1" applyFont="1" applyFill="1"/>
    <xf numFmtId="0" fontId="15" fillId="0" borderId="0" xfId="0" applyFont="1"/>
    <xf numFmtId="166" fontId="12" fillId="5" borderId="0" xfId="0" applyNumberFormat="1" applyFont="1" applyFill="1"/>
    <xf numFmtId="167" fontId="12" fillId="5" borderId="0" xfId="0" applyNumberFormat="1" applyFont="1" applyFill="1"/>
    <xf numFmtId="168" fontId="12" fillId="5" borderId="0" xfId="0" applyNumberFormat="1" applyFont="1" applyFill="1"/>
    <xf numFmtId="169" fontId="0" fillId="0" borderId="0" xfId="0" applyNumberFormat="1"/>
    <xf numFmtId="167" fontId="0" fillId="0" borderId="0" xfId="0" applyNumberFormat="1"/>
    <xf numFmtId="167" fontId="17" fillId="6" borderId="0" xfId="0" applyNumberFormat="1" applyFont="1" applyFill="1"/>
    <xf numFmtId="169" fontId="17" fillId="6" borderId="0" xfId="0" applyNumberFormat="1" applyFont="1" applyFill="1"/>
    <xf numFmtId="167" fontId="18" fillId="3" borderId="0" xfId="0" applyNumberFormat="1" applyFont="1" applyFill="1"/>
    <xf numFmtId="167" fontId="18" fillId="0" borderId="0" xfId="0" applyNumberFormat="1" applyFont="1"/>
    <xf numFmtId="0" fontId="5" fillId="4" borderId="0" xfId="0" applyFont="1" applyFill="1" applyAlignment="1">
      <alignment horizontal="left" vertical="center"/>
    </xf>
    <xf numFmtId="0" fontId="0" fillId="0" borderId="0" xfId="0"/>
    <xf numFmtId="165" fontId="7" fillId="4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6" fillId="2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5" xfId="0" applyBorder="1"/>
    <xf numFmtId="164" fontId="5" fillId="4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9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8" fillId="3" borderId="4" xfId="0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169" fontId="10" fillId="3" borderId="6" xfId="0" applyNumberFormat="1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4" xfId="0" applyBorder="1"/>
    <xf numFmtId="0" fontId="1" fillId="2" borderId="0" xfId="0" applyFont="1" applyFill="1" applyAlignment="1">
      <alignment horizontal="left" vertical="center"/>
    </xf>
    <xf numFmtId="166" fontId="8" fillId="3" borderId="6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left" vertical="top" wrapText="1"/>
    </xf>
    <xf numFmtId="167" fontId="8" fillId="3" borderId="6" xfId="0" applyNumberFormat="1" applyFont="1" applyFill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167" fontId="14" fillId="3" borderId="0" xfId="0" applyNumberFormat="1" applyFont="1" applyFill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166" fontId="14" fillId="3" borderId="0" xfId="0" applyNumberFormat="1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166" fontId="8" fillId="3" borderId="4" xfId="0" applyNumberFormat="1" applyFont="1" applyFill="1" applyBorder="1" applyAlignment="1" applyProtection="1">
      <alignment horizontal="left" vertical="center"/>
      <protection locked="0"/>
    </xf>
    <xf numFmtId="0" fontId="16" fillId="7" borderId="0" xfId="0" applyFont="1" applyFill="1"/>
    <xf numFmtId="0" fontId="15" fillId="0" borderId="0" xfId="0" applyFont="1"/>
  </cellXfs>
  <cellStyles count="1">
    <cellStyle name="Normal" xfId="0" builtinId="0"/>
  </cellStyles>
  <dxfs count="46"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font>
        <sz val="12"/>
        <color rgb="FF3B6D11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font>
        <sz val="12"/>
        <color rgb="FF791F1F"/>
        <name val="Aptos"/>
        <charset val="1"/>
      </font>
    </dxf>
    <dxf>
      <numFmt numFmtId="175" formatCode="&quot;Rs &quot;#,##0.00"/>
    </dxf>
    <dxf>
      <numFmt numFmtId="174" formatCode="&quot;€&quot;#,##0.00"/>
    </dxf>
    <dxf>
      <numFmt numFmtId="173" formatCode="&quot;£&quot;#,##0.00"/>
    </dxf>
    <dxf>
      <numFmt numFmtId="172" formatCode="&quot;Rs &quot;#,##0"/>
    </dxf>
    <dxf>
      <numFmt numFmtId="171" formatCode="&quot;€&quot;#,##0"/>
    </dxf>
    <dxf>
      <numFmt numFmtId="170" formatCode="&quot;£&quot;#,##0"/>
    </dxf>
    <dxf>
      <font>
        <sz val="12"/>
        <color rgb="FF3B6D11"/>
        <name val="Aptos"/>
        <charset val="1"/>
      </font>
    </dxf>
    <dxf>
      <font>
        <b/>
        <sz val="32"/>
        <color rgb="FF26211C"/>
        <name val="Aptos"/>
        <charset val="1"/>
      </font>
    </dxf>
    <dxf>
      <font>
        <b/>
        <sz val="32"/>
        <color rgb="FF791F1F"/>
        <name val="Aptos"/>
        <charset val="1"/>
      </font>
    </dxf>
    <dxf>
      <font>
        <b/>
        <sz val="32"/>
        <color rgb="FF854F0B"/>
        <name val="Aptos"/>
        <charset val="1"/>
      </font>
    </dxf>
    <dxf>
      <font>
        <b/>
        <sz val="32"/>
        <color rgb="FF3B6D11"/>
        <name val="Aptos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Transactions" displayName="tbl_Transactions" ref="A1:N4" totalsRowShown="0">
  <autoFilter ref="A1:N4" xr:uid="{00000000-0009-0000-0100-000001000000}"/>
  <tableColumns count="14">
    <tableColumn id="1" xr3:uid="{00000000-0010-0000-0000-000001000000}" name="TransactionID"/>
    <tableColumn id="2" xr3:uid="{00000000-0010-0000-0000-000002000000}" name="Date"/>
    <tableColumn id="3" xr3:uid="{00000000-0010-0000-0000-000003000000}" name="Direction"/>
    <tableColumn id="4" xr3:uid="{00000000-0010-0000-0000-000004000000}" name="Amount"/>
    <tableColumn id="5" xr3:uid="{00000000-0010-0000-0000-000005000000}" name="CategoryID"/>
    <tableColumn id="6" xr3:uid="{00000000-0010-0000-0000-000006000000}" name="Description"/>
    <tableColumn id="7" xr3:uid="{00000000-0010-0000-0000-000007000000}" name="CustomerID"/>
    <tableColumn id="8" xr3:uid="{00000000-0010-0000-0000-000008000000}" name="VendorID"/>
    <tableColumn id="9" xr3:uid="{00000000-0010-0000-0000-000009000000}" name="RelatedInvoiceID"/>
    <tableColumn id="10" xr3:uid="{00000000-0010-0000-0000-00000A000000}" name="RelatedBillID"/>
    <tableColumn id="11" xr3:uid="{00000000-0010-0000-0000-00000B000000}" name="IsRecurring"/>
    <tableColumn id="12" xr3:uid="{00000000-0010-0000-0000-00000C000000}" name="RecurrenceSourceID"/>
    <tableColumn id="13" xr3:uid="{00000000-0010-0000-0000-00000D000000}" name="EntryMethod"/>
    <tableColumn id="14" xr3:uid="{00000000-0010-0000-0000-00000E000000}" name="CreatedTimestam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tegories" displayName="tbl_Categories" ref="A1:F13" totalsRowShown="0">
  <autoFilter ref="A1:F13" xr:uid="{00000000-0009-0000-0100-000002000000}"/>
  <tableColumns count="6">
    <tableColumn id="1" xr3:uid="{00000000-0010-0000-0100-000001000000}" name="CategoryID"/>
    <tableColumn id="2" xr3:uid="{00000000-0010-0000-0100-000002000000}" name="CategoryName"/>
    <tableColumn id="3" xr3:uid="{00000000-0010-0000-0100-000003000000}" name="Direction"/>
    <tableColumn id="4" xr3:uid="{00000000-0010-0000-0100-000004000000}" name="IsSystemDefault"/>
    <tableColumn id="5" xr3:uid="{00000000-0010-0000-0100-000005000000}" name="IsArchived"/>
    <tableColumn id="6" xr3:uid="{00000000-0010-0000-0100-000006000000}" name="IconT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Vendors" displayName="tbl_Vendors" ref="A1:G2" totalsRowShown="0">
  <autoFilter ref="A1:G2" xr:uid="{00000000-0009-0000-0100-000003000000}"/>
  <tableColumns count="7">
    <tableColumn id="1" xr3:uid="{00000000-0010-0000-0200-000001000000}" name="VendorID"/>
    <tableColumn id="2" xr3:uid="{00000000-0010-0000-0200-000002000000}" name="VendorName"/>
    <tableColumn id="3" xr3:uid="{00000000-0010-0000-0200-000003000000}" name="Email"/>
    <tableColumn id="4" xr3:uid="{00000000-0010-0000-0200-000004000000}" name="Phone"/>
    <tableColumn id="5" xr3:uid="{00000000-0010-0000-0200-000005000000}" name="DefaultCategoryID"/>
    <tableColumn id="6" xr3:uid="{00000000-0010-0000-0200-000006000000}" name="Notes"/>
    <tableColumn id="7" xr3:uid="{00000000-0010-0000-0200-000007000000}" name="IsArchive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Bills" displayName="tbl_Bills" ref="A1:I3" totalsRowShown="0">
  <autoFilter ref="A1:I3" xr:uid="{00000000-0009-0000-0100-000004000000}"/>
  <tableColumns count="9">
    <tableColumn id="1" xr3:uid="{00000000-0010-0000-0300-000001000000}" name="BillID"/>
    <tableColumn id="2" xr3:uid="{00000000-0010-0000-0300-000002000000}" name="VendorID"/>
    <tableColumn id="3" xr3:uid="{00000000-0010-0000-0300-000003000000}" name="Amount"/>
    <tableColumn id="4" xr3:uid="{00000000-0010-0000-0300-000004000000}" name="DueDate"/>
    <tableColumn id="5" xr3:uid="{00000000-0010-0000-0300-000005000000}" name="IsRecurring"/>
    <tableColumn id="6" xr3:uid="{00000000-0010-0000-0300-000006000000}" name="RecurrenceFrequency"/>
    <tableColumn id="7" xr3:uid="{00000000-0010-0000-0300-000007000000}" name="Status"/>
    <tableColumn id="8" xr3:uid="{00000000-0010-0000-0300-000008000000}" name="LinkedTransactionID"/>
    <tableColumn id="9" xr3:uid="{00000000-0010-0000-0300-000009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ustomers" displayName="tbl_Customers" ref="A1:F2" totalsRowShown="0">
  <autoFilter ref="A1:F2" xr:uid="{00000000-0009-0000-0100-000005000000}"/>
  <tableColumns count="6">
    <tableColumn id="1" xr3:uid="{00000000-0010-0000-0400-000001000000}" name="CustomerID"/>
    <tableColumn id="2" xr3:uid="{00000000-0010-0000-0400-000002000000}" name="CustomerName"/>
    <tableColumn id="3" xr3:uid="{00000000-0010-0000-0400-000003000000}" name="Email"/>
    <tableColumn id="4" xr3:uid="{00000000-0010-0000-0400-000004000000}" name="Phone"/>
    <tableColumn id="5" xr3:uid="{00000000-0010-0000-0400-000005000000}" name="Notes"/>
    <tableColumn id="6" xr3:uid="{00000000-0010-0000-0400-000006000000}" name="IsArchive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Invoices" displayName="tbl_Invoices" ref="A1:I3" totalsRowShown="0">
  <autoFilter ref="A1:I3" xr:uid="{00000000-0009-0000-0100-000006000000}"/>
  <tableColumns count="9">
    <tableColumn id="1" xr3:uid="{00000000-0010-0000-0500-000001000000}" name="InvoiceID"/>
    <tableColumn id="2" xr3:uid="{00000000-0010-0000-0500-000002000000}" name="CustomerID"/>
    <tableColumn id="3" xr3:uid="{00000000-0010-0000-0500-000003000000}" name="IssueDate"/>
    <tableColumn id="4" xr3:uid="{00000000-0010-0000-0500-000004000000}" name="DueDate"/>
    <tableColumn id="5" xr3:uid="{00000000-0010-0000-0500-000005000000}" name="Amount"/>
    <tableColumn id="6" xr3:uid="{00000000-0010-0000-0500-000006000000}" name="Status"/>
    <tableColumn id="7" xr3:uid="{00000000-0010-0000-0500-000007000000}" name="PaidDate"/>
    <tableColumn id="8" xr3:uid="{00000000-0010-0000-0500-000008000000}" name="LinkedTransactionID"/>
    <tableColumn id="9" xr3:uid="{00000000-0010-0000-0500-000009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Goals" displayName="tbl_Goals" ref="A1:I2" totalsRowShown="0">
  <autoFilter ref="A1:I2" xr:uid="{00000000-0009-0000-0100-000007000000}"/>
  <tableColumns count="9">
    <tableColumn id="1" xr3:uid="{00000000-0010-0000-0600-000001000000}" name="GoalID"/>
    <tableColumn id="2" xr3:uid="{00000000-0010-0000-0600-000002000000}" name="GoalName"/>
    <tableColumn id="3" xr3:uid="{00000000-0010-0000-0600-000003000000}" name="GoalType"/>
    <tableColumn id="4" xr3:uid="{00000000-0010-0000-0600-000004000000}" name="TargetAmount"/>
    <tableColumn id="5" xr3:uid="{00000000-0010-0000-0600-000005000000}" name="CurrentAmount"/>
    <tableColumn id="6" xr3:uid="{00000000-0010-0000-0600-000006000000}" name="StartDate"/>
    <tableColumn id="7" xr3:uid="{00000000-0010-0000-0600-000007000000}" name="TargetDate"/>
    <tableColumn id="8" xr3:uid="{00000000-0010-0000-0600-000008000000}" name="Status"/>
    <tableColumn id="9" xr3:uid="{00000000-0010-0000-0600-000009000000}" name="IconTag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BusinessProfile" displayName="tbl_BusinessProfile" ref="A1:I2" totalsRowShown="0">
  <autoFilter ref="A1:I2" xr:uid="{00000000-0009-0000-0100-000008000000}"/>
  <tableColumns count="9">
    <tableColumn id="1" xr3:uid="{00000000-0010-0000-0700-000001000000}" name="BusinessName"/>
    <tableColumn id="2" xr3:uid="{00000000-0010-0000-0700-000002000000}" name="BusinessType"/>
    <tableColumn id="3" xr3:uid="{00000000-0010-0000-0700-000003000000}" name="FiscalYearStartMonth"/>
    <tableColumn id="4" xr3:uid="{00000000-0010-0000-0700-000004000000}" name="Currency"/>
    <tableColumn id="5" xr3:uid="{00000000-0010-0000-0700-000005000000}" name="StartingCashBalance"/>
    <tableColumn id="6" xr3:uid="{00000000-0010-0000-0700-000006000000}" name="SetupCompletedDate"/>
    <tableColumn id="7" xr3:uid="{00000000-0010-0000-0700-000007000000}" name="LogoPlaceholder"/>
    <tableColumn id="8" xr3:uid="{00000000-0010-0000-0700-000008000000}" name="OwnerName"/>
    <tableColumn id="9" xr3:uid="{00000000-0010-0000-0700-000009000000}" name="TimeZon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tings" displayName="tbl_Settings" ref="A1:L2" totalsRowShown="0">
  <autoFilter ref="A1:L2" xr:uid="{00000000-0009-0000-0100-000009000000}"/>
  <tableColumns count="12">
    <tableColumn id="1" xr3:uid="{00000000-0010-0000-0800-000001000000}" name="DateFormatPreference"/>
    <tableColumn id="2" xr3:uid="{00000000-0010-0000-0800-000002000000}" name="WeekStartDay"/>
    <tableColumn id="3" xr3:uid="{00000000-0010-0000-0800-000003000000}" name="InsightsEnabled"/>
    <tableColumn id="4" xr3:uid="{00000000-0010-0000-0800-000004000000}" name="CelebrationAnimationsEnabled"/>
    <tableColumn id="5" xr3:uid="{00000000-0010-0000-0800-000005000000}" name="DefaultInvoiceDueDays"/>
    <tableColumn id="6" xr3:uid="{00000000-0010-0000-0800-000006000000}" name="LastBriefingGeneratedDate"/>
    <tableColumn id="7" xr3:uid="{00000000-0010-0000-0800-000007000000}" name="AppVersion"/>
    <tableColumn id="8" xr3:uid="{00000000-0010-0000-0800-000008000000}" name="NumberFormat"/>
    <tableColumn id="9" xr3:uid="{00000000-0010-0000-0800-000009000000}" name="Theme"/>
    <tableColumn id="10" xr3:uid="{00000000-0010-0000-0800-00000A000000}" name="BuildNumber"/>
    <tableColumn id="11" xr3:uid="{00000000-0010-0000-0800-00000B000000}" name="LastUpdated"/>
    <tableColumn id="12" xr3:uid="{00000000-0010-0000-0800-00000C000000}" name="Licen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showRowColHeaders="0" tabSelected="1" zoomScale="89" zoomScaleNormal="78" workbookViewId="0">
      <selection activeCell="P13" sqref="P13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2" style="18" customWidth="1"/>
    <col min="6" max="8" width="12" style="18" customWidth="1"/>
    <col min="9" max="9" width="2" style="18" customWidth="1"/>
    <col min="10" max="13" width="12" style="18" customWidth="1"/>
    <col min="14" max="14" width="3.42578125" style="18" customWidth="1"/>
  </cols>
  <sheetData>
    <row r="1" spans="1:14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>
      <c r="A2" s="2"/>
      <c r="B2" s="56" t="str">
        <f>CurrentBusinessName</f>
        <v>Riverside Design Studio</v>
      </c>
      <c r="C2" s="57"/>
      <c r="D2" s="57"/>
      <c r="E2" s="2"/>
      <c r="F2" s="3" t="s">
        <v>0</v>
      </c>
      <c r="G2" s="4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</row>
    <row r="3" spans="1:14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55" t="s">
        <v>0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</row>
    <row r="5" spans="1:14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46" t="s">
        <v>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1"/>
    </row>
    <row r="7" spans="1:14" ht="55.5" customHeight="1">
      <c r="A7" s="1"/>
      <c r="B7" s="50" t="str">
        <f ca="1">calcHealthTitle</f>
        <v>Excellent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1"/>
    </row>
    <row r="8" spans="1:14" ht="18" customHeight="1">
      <c r="A8" s="1"/>
      <c r="B8" s="46" t="str">
        <f ca="1">calcHealthSubtitle</f>
        <v>Income is well ahead of spending this month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1"/>
    </row>
    <row r="9" spans="1:14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43" t="s">
        <v>7</v>
      </c>
      <c r="C10" s="44"/>
      <c r="D10" s="44"/>
      <c r="E10" s="1"/>
      <c r="F10" s="43" t="s">
        <v>8</v>
      </c>
      <c r="G10" s="44"/>
      <c r="H10" s="44"/>
      <c r="I10" s="1"/>
      <c r="J10" s="1"/>
      <c r="K10" s="1"/>
      <c r="L10" s="1"/>
      <c r="M10" s="1"/>
      <c r="N10" s="1"/>
    </row>
    <row r="11" spans="1:14" ht="31.5" customHeight="1">
      <c r="A11" s="1"/>
      <c r="B11" s="45">
        <f ca="1">calcMoneyInThisMonth</f>
        <v>850</v>
      </c>
      <c r="C11" s="44"/>
      <c r="D11" s="44"/>
      <c r="E11" s="1"/>
      <c r="F11" s="45">
        <f ca="1">calcMoneyOutThisMonth</f>
        <v>165</v>
      </c>
      <c r="G11" s="44"/>
      <c r="H11" s="44"/>
      <c r="I11" s="1"/>
      <c r="J11" s="1"/>
      <c r="K11" s="1"/>
      <c r="L11" s="1"/>
      <c r="M11" s="1"/>
      <c r="N11" s="1"/>
    </row>
    <row r="12" spans="1:14" ht="18" customHeight="1">
      <c r="A12" s="1"/>
      <c r="B12" s="54"/>
      <c r="C12" s="44"/>
      <c r="D12" s="44"/>
      <c r="E12" s="1"/>
      <c r="F12" s="54"/>
      <c r="G12" s="44"/>
      <c r="H12" s="44"/>
      <c r="I12" s="1"/>
      <c r="J12" s="1"/>
      <c r="K12" s="1"/>
      <c r="L12" s="1"/>
      <c r="M12" s="1"/>
      <c r="N12" s="1"/>
    </row>
    <row r="13" spans="1:14" ht="15.75" customHeight="1">
      <c r="A13" s="1"/>
      <c r="B13" s="5"/>
      <c r="C13" s="5"/>
      <c r="D13" s="5"/>
      <c r="E13" s="1"/>
      <c r="F13" s="5"/>
      <c r="G13" s="5"/>
      <c r="H13" s="5"/>
      <c r="I13" s="1"/>
      <c r="J13" s="1"/>
      <c r="K13" s="1"/>
      <c r="L13" s="1"/>
      <c r="M13" s="1"/>
      <c r="N13" s="1"/>
    </row>
    <row r="14" spans="1:14" ht="1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5" customHeight="1">
      <c r="A15" s="1"/>
      <c r="B15" s="47" t="s">
        <v>9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1"/>
    </row>
    <row r="16" spans="1:14" ht="18" customHeight="1">
      <c r="A16" s="1"/>
      <c r="B16" s="6" t="str">
        <f ca="1">AttentionItem1Title</f>
        <v>Overdue bills</v>
      </c>
      <c r="C16" s="2"/>
      <c r="D16" s="2"/>
      <c r="E16" s="2"/>
      <c r="F16" s="2"/>
      <c r="G16" s="2"/>
      <c r="H16" s="2"/>
      <c r="I16" s="2"/>
      <c r="J16" s="7" t="str">
        <f ca="1">AttentionItem1Severity</f>
        <v>Critical</v>
      </c>
      <c r="K16" s="2"/>
      <c r="L16" s="2"/>
      <c r="M16" s="8"/>
      <c r="N16" s="1"/>
    </row>
    <row r="17" spans="1:14" ht="18" customHeight="1">
      <c r="A17" s="1"/>
      <c r="B17" s="6" t="str">
        <f ca="1">AttentionItem2Title</f>
        <v>Overdue invoices</v>
      </c>
      <c r="C17" s="2"/>
      <c r="D17" s="2"/>
      <c r="E17" s="2"/>
      <c r="F17" s="2"/>
      <c r="G17" s="2"/>
      <c r="H17" s="2"/>
      <c r="I17" s="2"/>
      <c r="J17" s="7" t="str">
        <f ca="1">AttentionItem2Severity</f>
        <v>Critical</v>
      </c>
      <c r="K17" s="2"/>
      <c r="L17" s="2"/>
      <c r="M17" s="8"/>
      <c r="N17" s="1"/>
    </row>
    <row r="18" spans="1:14" ht="18" customHeight="1">
      <c r="A18" s="1"/>
      <c r="B18" s="6" t="str">
        <f ca="1">AttentionItem3Title</f>
        <v/>
      </c>
      <c r="C18" s="2"/>
      <c r="D18" s="2"/>
      <c r="E18" s="2"/>
      <c r="F18" s="2"/>
      <c r="G18" s="2"/>
      <c r="H18" s="2"/>
      <c r="I18" s="2"/>
      <c r="J18" s="7" t="str">
        <f ca="1">AttentionItem3Severity</f>
        <v/>
      </c>
      <c r="K18" s="2"/>
      <c r="L18" s="2"/>
      <c r="M18" s="8"/>
      <c r="N18" s="1"/>
    </row>
    <row r="19" spans="1:14" ht="18" customHeight="1">
      <c r="A19" s="1"/>
      <c r="B19" s="6" t="str">
        <f ca="1">AttentionItem4Title</f>
        <v/>
      </c>
      <c r="C19" s="2"/>
      <c r="D19" s="2"/>
      <c r="E19" s="2"/>
      <c r="F19" s="2"/>
      <c r="G19" s="2"/>
      <c r="H19" s="2"/>
      <c r="I19" s="2"/>
      <c r="J19" s="7" t="str">
        <f ca="1">AttentionItem4Severity</f>
        <v/>
      </c>
      <c r="K19" s="2"/>
      <c r="L19" s="2"/>
      <c r="M19" s="8"/>
      <c r="N19" s="1"/>
    </row>
    <row r="20" spans="1:14" ht="18" customHeight="1">
      <c r="A20" s="1"/>
      <c r="B20" s="9" t="str">
        <f ca="1">AttentionItem5Title</f>
        <v/>
      </c>
      <c r="C20" s="10"/>
      <c r="D20" s="10"/>
      <c r="E20" s="10"/>
      <c r="F20" s="10"/>
      <c r="G20" s="10"/>
      <c r="H20" s="10"/>
      <c r="I20" s="10"/>
      <c r="J20" s="11" t="str">
        <f ca="1">AttentionItem5Severity</f>
        <v/>
      </c>
      <c r="K20" s="10"/>
      <c r="L20" s="10"/>
      <c r="M20" s="12"/>
      <c r="N20" s="1"/>
    </row>
    <row r="21" spans="1:14" ht="15.75" customHeight="1">
      <c r="A21" s="1"/>
      <c r="B21" s="13"/>
      <c r="C21" s="2"/>
      <c r="D21" s="2"/>
      <c r="E21" s="2"/>
      <c r="F21" s="2"/>
      <c r="G21" s="2"/>
      <c r="H21" s="2"/>
      <c r="I21" s="2"/>
      <c r="J21" s="2"/>
      <c r="K21" s="2"/>
      <c r="L21" s="2"/>
      <c r="M21" s="8"/>
      <c r="N21" s="1"/>
    </row>
    <row r="22" spans="1:14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5" customHeight="1">
      <c r="A23" s="1"/>
      <c r="B23" s="47" t="s">
        <v>10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9"/>
      <c r="N23" s="1"/>
    </row>
    <row r="24" spans="1:14" ht="18" customHeight="1">
      <c r="A24" s="1"/>
      <c r="B24" s="51" t="str">
        <f ca="1">_xlfn.TEXTJOIN(" ",TRUE(),InsightItem1Message,InsightItem2Message,InsightItem3Message)</f>
        <v>Your biggest expense this month was Supplies at $165. You paid City Wholesale Supplies more than anyone else this month, totaling $165. You've brought in $850 so far this month.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52"/>
      <c r="N24" s="1"/>
    </row>
    <row r="25" spans="1:14" ht="18" customHeight="1">
      <c r="A25" s="1"/>
      <c r="B25" s="5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52"/>
      <c r="N25" s="1"/>
    </row>
    <row r="26" spans="1:14" ht="18" customHeight="1">
      <c r="A26" s="1"/>
      <c r="B26" s="5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52"/>
      <c r="N26" s="1"/>
    </row>
    <row r="27" spans="1:14" ht="15.75" customHeight="1">
      <c r="A27" s="1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8"/>
      <c r="N27" s="1"/>
    </row>
    <row r="28" spans="1:14" ht="31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sheetProtection password="ECAF" sheet="1" formatCells="0" formatColumns="0" formatRows="0" insertColumns="0" insertRows="0" deleteColumns="0" deleteRows="0" sort="0" autoFilter="0"/>
  <mergeCells count="14">
    <mergeCell ref="B4:M4"/>
    <mergeCell ref="F11:H11"/>
    <mergeCell ref="B2:D2"/>
    <mergeCell ref="B24:M26"/>
    <mergeCell ref="B23:M23"/>
    <mergeCell ref="B8:M8"/>
    <mergeCell ref="F12:H12"/>
    <mergeCell ref="B12:D12"/>
    <mergeCell ref="B10:D10"/>
    <mergeCell ref="B11:D11"/>
    <mergeCell ref="F10:H10"/>
    <mergeCell ref="B6:M6"/>
    <mergeCell ref="B15:M15"/>
    <mergeCell ref="B7:M7"/>
  </mergeCells>
  <conditionalFormatting sqref="B7">
    <cfRule type="expression" dxfId="45" priority="2">
      <formula>EXACT(calcHealthColor,"Success")</formula>
    </cfRule>
    <cfRule type="expression" dxfId="44" priority="3">
      <formula>EXACT(calcHealthColor,"Warning")</formula>
    </cfRule>
    <cfRule type="expression" dxfId="43" priority="4">
      <formula>EXACT(calcHealthColor,"Critical")</formula>
    </cfRule>
    <cfRule type="expression" dxfId="42" priority="5">
      <formula>EXACT(calcHealthColor,"Neutral")</formula>
    </cfRule>
  </conditionalFormatting>
  <conditionalFormatting sqref="B12">
    <cfRule type="expression" dxfId="41" priority="6">
      <formula>B12&gt;0</formula>
    </cfRule>
  </conditionalFormatting>
  <conditionalFormatting sqref="B11 F11">
    <cfRule type="expression" dxfId="40" priority="7">
      <formula>CurrentCurrency="GBP"</formula>
    </cfRule>
    <cfRule type="expression" dxfId="39" priority="7">
      <formula>CurrentCurrency="EUR"</formula>
    </cfRule>
    <cfRule type="expression" dxfId="38" priority="8">
      <formula>CurrentCurrency="PKR"</formula>
    </cfRule>
  </conditionalFormatting>
  <hyperlinks>
    <hyperlink ref="F2" location="Home!A1" display="Home" xr:uid="{00000000-0004-0000-0000-000000000000}"/>
    <hyperlink ref="G2" location="'Quick Add'!A1" display="Quick Add" xr:uid="{00000000-0004-0000-0000-000001000000}"/>
    <hyperlink ref="H2" location="Bills!A1" display="Bills" xr:uid="{00000000-0004-0000-0000-000002000000}"/>
    <hyperlink ref="J2" location="Clients!A1" display="Clients" xr:uid="{00000000-0004-0000-0000-000003000000}"/>
    <hyperlink ref="K2" location="Goals!A1" display="Goals" xr:uid="{00000000-0004-0000-0000-000004000000}"/>
    <hyperlink ref="L2" location="Home!B23" display="Insights" xr:uid="{00000000-0004-0000-0000-000005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showRowColHeaders="0" zoomScale="107" zoomScaleNormal="93" workbookViewId="0"/>
  </sheetViews>
  <sheetFormatPr defaultColWidth="8.7109375" defaultRowHeight="15"/>
  <cols>
    <col min="1" max="1" width="3.42578125" style="18" customWidth="1"/>
    <col min="2" max="4" width="12" style="18" customWidth="1"/>
    <col min="5" max="5" width="2" style="18" customWidth="1"/>
    <col min="6" max="8" width="12" style="18" customWidth="1"/>
    <col min="9" max="9" width="2" style="18" customWidth="1"/>
    <col min="10" max="13" width="12" style="18" customWidth="1"/>
    <col min="14" max="14" width="3.42578125" style="18" customWidth="1"/>
  </cols>
  <sheetData>
    <row r="1" spans="1:14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>
      <c r="A2" s="2"/>
      <c r="B2" s="56" t="s">
        <v>11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</row>
    <row r="3" spans="1:14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55" t="s">
        <v>12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</row>
    <row r="5" spans="1:14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47" t="s">
        <v>13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</row>
    <row r="7" spans="1:14" ht="21.75" customHeight="1">
      <c r="A7" s="1"/>
      <c r="B7" s="58" t="s">
        <v>14</v>
      </c>
      <c r="C7" s="44"/>
      <c r="D7" s="44"/>
      <c r="E7" s="10"/>
      <c r="F7" s="60" t="s">
        <v>11</v>
      </c>
      <c r="G7" s="61"/>
      <c r="H7" s="61"/>
      <c r="I7" s="61"/>
      <c r="J7" s="61"/>
      <c r="K7" s="61"/>
      <c r="L7" s="61"/>
      <c r="M7" s="62"/>
      <c r="N7" s="1"/>
    </row>
    <row r="8" spans="1:14" ht="21.75" customHeight="1">
      <c r="A8" s="1"/>
      <c r="B8" s="58" t="s">
        <v>15</v>
      </c>
      <c r="C8" s="44"/>
      <c r="D8" s="44"/>
      <c r="E8" s="10"/>
      <c r="F8" s="60"/>
      <c r="G8" s="61"/>
      <c r="H8" s="61"/>
      <c r="I8" s="61"/>
      <c r="J8" s="61"/>
      <c r="K8" s="61"/>
      <c r="L8" s="61"/>
      <c r="M8" s="62"/>
      <c r="N8" s="1"/>
    </row>
    <row r="9" spans="1:14" ht="21.75" customHeight="1">
      <c r="A9" s="1"/>
      <c r="B9" s="58" t="s">
        <v>16</v>
      </c>
      <c r="C9" s="44"/>
      <c r="D9" s="44"/>
      <c r="E9" s="10"/>
      <c r="F9" s="60" t="s">
        <v>17</v>
      </c>
      <c r="G9" s="61"/>
      <c r="H9" s="61"/>
      <c r="I9" s="61"/>
      <c r="J9" s="61"/>
      <c r="K9" s="61"/>
      <c r="L9" s="61"/>
      <c r="M9" s="62"/>
      <c r="N9" s="1"/>
    </row>
    <row r="10" spans="1:14" ht="21.75" customHeight="1">
      <c r="A10" s="1"/>
      <c r="B10" s="58" t="s">
        <v>18</v>
      </c>
      <c r="C10" s="44"/>
      <c r="D10" s="44"/>
      <c r="E10" s="10"/>
      <c r="F10" s="60" t="s">
        <v>19</v>
      </c>
      <c r="G10" s="61"/>
      <c r="H10" s="61"/>
      <c r="I10" s="61"/>
      <c r="J10" s="61"/>
      <c r="K10" s="61"/>
      <c r="L10" s="61"/>
      <c r="M10" s="62"/>
      <c r="N10" s="1"/>
    </row>
    <row r="11" spans="1:14" ht="21.75" customHeight="1">
      <c r="A11" s="1"/>
      <c r="B11" s="58" t="s">
        <v>20</v>
      </c>
      <c r="C11" s="44"/>
      <c r="D11" s="44"/>
      <c r="E11" s="10"/>
      <c r="F11" s="60" t="s">
        <v>21</v>
      </c>
      <c r="G11" s="61"/>
      <c r="H11" s="61"/>
      <c r="I11" s="61"/>
      <c r="J11" s="61"/>
      <c r="K11" s="61"/>
      <c r="L11" s="61"/>
      <c r="M11" s="62"/>
      <c r="N11" s="1"/>
    </row>
    <row r="12" spans="1:14" ht="21.75" customHeight="1">
      <c r="A12" s="1"/>
      <c r="B12" s="67" t="s">
        <v>22</v>
      </c>
      <c r="C12" s="57"/>
      <c r="D12" s="57"/>
      <c r="E12" s="2"/>
      <c r="F12" s="63" t="s">
        <v>23</v>
      </c>
      <c r="G12" s="64"/>
      <c r="H12" s="64"/>
      <c r="I12" s="64"/>
      <c r="J12" s="64"/>
      <c r="K12" s="64"/>
      <c r="L12" s="64"/>
      <c r="M12" s="65"/>
      <c r="N12" s="1"/>
    </row>
    <row r="13" spans="1:1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5" customHeight="1">
      <c r="A15" s="1"/>
      <c r="B15" s="47" t="s">
        <v>24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1"/>
    </row>
    <row r="16" spans="1:14" ht="21.75" customHeight="1">
      <c r="A16" s="1"/>
      <c r="B16" s="58" t="s">
        <v>25</v>
      </c>
      <c r="C16" s="44"/>
      <c r="D16" s="44"/>
      <c r="E16" s="10"/>
      <c r="F16" s="60" t="s">
        <v>26</v>
      </c>
      <c r="G16" s="61"/>
      <c r="H16" s="61"/>
      <c r="I16" s="61"/>
      <c r="J16" s="61"/>
      <c r="K16" s="61"/>
      <c r="L16" s="61"/>
      <c r="M16" s="62"/>
      <c r="N16" s="1"/>
    </row>
    <row r="17" spans="1:14" ht="21.75" customHeight="1">
      <c r="A17" s="1"/>
      <c r="B17" s="58" t="s">
        <v>27</v>
      </c>
      <c r="C17" s="44"/>
      <c r="D17" s="44"/>
      <c r="E17" s="10"/>
      <c r="F17" s="59" t="s">
        <v>28</v>
      </c>
      <c r="G17" s="44"/>
      <c r="H17" s="44"/>
      <c r="I17" s="44"/>
      <c r="J17" s="44"/>
      <c r="K17" s="44"/>
      <c r="L17" s="44"/>
      <c r="M17" s="52"/>
      <c r="N17" s="1"/>
    </row>
    <row r="18" spans="1:14" ht="21.75" customHeight="1">
      <c r="A18" s="1"/>
      <c r="B18" s="67" t="s">
        <v>29</v>
      </c>
      <c r="C18" s="57"/>
      <c r="D18" s="57"/>
      <c r="E18" s="2"/>
      <c r="F18" s="63" t="s">
        <v>30</v>
      </c>
      <c r="G18" s="64"/>
      <c r="H18" s="64"/>
      <c r="I18" s="64"/>
      <c r="J18" s="64"/>
      <c r="K18" s="64"/>
      <c r="L18" s="64"/>
      <c r="M18" s="65"/>
      <c r="N18" s="1"/>
    </row>
    <row r="19" spans="1:14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5" customHeight="1">
      <c r="A21" s="1"/>
      <c r="B21" s="47" t="s">
        <v>31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  <c r="N21" s="1"/>
    </row>
    <row r="22" spans="1:14" ht="21.75" customHeight="1">
      <c r="A22" s="1"/>
      <c r="B22" s="58" t="s">
        <v>32</v>
      </c>
      <c r="C22" s="44"/>
      <c r="D22" s="44"/>
      <c r="E22" s="10"/>
      <c r="F22" s="60" t="s">
        <v>33</v>
      </c>
      <c r="G22" s="61"/>
      <c r="H22" s="61"/>
      <c r="I22" s="61"/>
      <c r="J22" s="61"/>
      <c r="K22" s="61"/>
      <c r="L22" s="61"/>
      <c r="M22" s="62"/>
      <c r="N22" s="1"/>
    </row>
    <row r="23" spans="1:14" ht="21.75" customHeight="1">
      <c r="A23" s="1"/>
      <c r="B23" s="58" t="s">
        <v>34</v>
      </c>
      <c r="C23" s="44"/>
      <c r="D23" s="44"/>
      <c r="E23" s="10"/>
      <c r="F23" s="60" t="s">
        <v>35</v>
      </c>
      <c r="G23" s="61"/>
      <c r="H23" s="61"/>
      <c r="I23" s="61"/>
      <c r="J23" s="61"/>
      <c r="K23" s="61"/>
      <c r="L23" s="61"/>
      <c r="M23" s="62"/>
      <c r="N23" s="1"/>
    </row>
    <row r="24" spans="1:14" ht="21.75" customHeight="1">
      <c r="A24" s="1"/>
      <c r="B24" s="67" t="s">
        <v>36</v>
      </c>
      <c r="C24" s="57"/>
      <c r="D24" s="57"/>
      <c r="E24" s="2"/>
      <c r="F24" s="63" t="s">
        <v>37</v>
      </c>
      <c r="G24" s="64"/>
      <c r="H24" s="64"/>
      <c r="I24" s="64"/>
      <c r="J24" s="64"/>
      <c r="K24" s="64"/>
      <c r="L24" s="64"/>
      <c r="M24" s="65"/>
      <c r="N24" s="1"/>
    </row>
    <row r="25" spans="1:1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5" customHeight="1">
      <c r="A27" s="1"/>
      <c r="B27" s="47" t="s">
        <v>38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  <c r="N27" s="1"/>
    </row>
    <row r="28" spans="1:14" ht="21.75" customHeight="1">
      <c r="A28" s="1"/>
      <c r="B28" s="58" t="s">
        <v>39</v>
      </c>
      <c r="C28" s="44"/>
      <c r="D28" s="44"/>
      <c r="E28" s="10"/>
      <c r="F28" s="59" t="str">
        <f>CurrentAppVersion</f>
        <v>1.0.4</v>
      </c>
      <c r="G28" s="44"/>
      <c r="H28" s="44"/>
      <c r="I28" s="44"/>
      <c r="J28" s="44"/>
      <c r="K28" s="44"/>
      <c r="L28" s="44"/>
      <c r="M28" s="52"/>
      <c r="N28" s="1"/>
    </row>
    <row r="29" spans="1:14" ht="21.75" customHeight="1">
      <c r="A29" s="1"/>
      <c r="B29" s="58" t="s">
        <v>40</v>
      </c>
      <c r="C29" s="44"/>
      <c r="D29" s="44"/>
      <c r="E29" s="10"/>
      <c r="F29" s="59" t="str">
        <f>CurrentBuildNumber</f>
        <v>2026.10.12-001</v>
      </c>
      <c r="G29" s="44"/>
      <c r="H29" s="44"/>
      <c r="I29" s="44"/>
      <c r="J29" s="44"/>
      <c r="K29" s="44"/>
      <c r="L29" s="44"/>
      <c r="M29" s="52"/>
      <c r="N29" s="1"/>
    </row>
    <row r="30" spans="1:14" ht="21.75" customHeight="1">
      <c r="A30" s="1"/>
      <c r="B30" s="58" t="s">
        <v>41</v>
      </c>
      <c r="C30" s="44"/>
      <c r="D30" s="44"/>
      <c r="E30" s="10"/>
      <c r="F30" s="66">
        <f>CurrentLastUpdated</f>
        <v>46307</v>
      </c>
      <c r="G30" s="44"/>
      <c r="H30" s="44"/>
      <c r="I30" s="44"/>
      <c r="J30" s="44"/>
      <c r="K30" s="44"/>
      <c r="L30" s="44"/>
      <c r="M30" s="52"/>
      <c r="N30" s="1"/>
    </row>
    <row r="31" spans="1:14" ht="21.75" customHeight="1">
      <c r="A31" s="1"/>
      <c r="B31" s="67" t="s">
        <v>42</v>
      </c>
      <c r="C31" s="57"/>
      <c r="D31" s="57"/>
      <c r="E31" s="2"/>
      <c r="F31" s="68" t="str">
        <f>CurrentLicense</f>
        <v>Licensed to Riverside Design Studio</v>
      </c>
      <c r="G31" s="57"/>
      <c r="H31" s="57"/>
      <c r="I31" s="57"/>
      <c r="J31" s="57"/>
      <c r="K31" s="57"/>
      <c r="L31" s="57"/>
      <c r="M31" s="69"/>
      <c r="N31" s="1"/>
    </row>
    <row r="32" spans="1:1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sheetProtection password="ECAF" sheet="1" formatCells="0" formatColumns="0" formatRows="0" insertColumns="0" insertRows="0" deleteColumns="0" deleteRows="0" sort="0" autoFilter="0"/>
  <mergeCells count="38">
    <mergeCell ref="B2:D2"/>
    <mergeCell ref="F31:M31"/>
    <mergeCell ref="B4:M4"/>
    <mergeCell ref="B7:D7"/>
    <mergeCell ref="B16:D16"/>
    <mergeCell ref="F9:M9"/>
    <mergeCell ref="B31:D31"/>
    <mergeCell ref="B22:D22"/>
    <mergeCell ref="B18:D18"/>
    <mergeCell ref="B27:M27"/>
    <mergeCell ref="B12:D12"/>
    <mergeCell ref="B21:M21"/>
    <mergeCell ref="B6:M6"/>
    <mergeCell ref="F17:M17"/>
    <mergeCell ref="B15:M15"/>
    <mergeCell ref="F23:M23"/>
    <mergeCell ref="F28:M28"/>
    <mergeCell ref="F22:M22"/>
    <mergeCell ref="F7:M7"/>
    <mergeCell ref="B10:D10"/>
    <mergeCell ref="B28:D28"/>
    <mergeCell ref="F12:M12"/>
    <mergeCell ref="F30:M30"/>
    <mergeCell ref="F24:M24"/>
    <mergeCell ref="B9:D9"/>
    <mergeCell ref="B30:D30"/>
    <mergeCell ref="F18:M18"/>
    <mergeCell ref="B24:D24"/>
    <mergeCell ref="F8:M8"/>
    <mergeCell ref="B11:D11"/>
    <mergeCell ref="F29:M29"/>
    <mergeCell ref="B23:D23"/>
    <mergeCell ref="F11:M11"/>
    <mergeCell ref="B8:D8"/>
    <mergeCell ref="B17:D17"/>
    <mergeCell ref="F16:M16"/>
    <mergeCell ref="F10:M10"/>
    <mergeCell ref="B29:D29"/>
  </mergeCells>
  <dataValidations count="8">
    <dataValidation type="list" sqref="F10" xr:uid="{00000000-0002-0000-0100-000000000000}">
      <formula1>rngCurrencies</formula1>
      <formula2>0</formula2>
    </dataValidation>
    <dataValidation type="list" sqref="F11" xr:uid="{00000000-0002-0000-0100-000001000000}">
      <formula1>rngMonths</formula1>
      <formula2>0</formula2>
    </dataValidation>
    <dataValidation type="list" sqref="F12" xr:uid="{00000000-0002-0000-0100-000002000000}">
      <formula1>rngTimeZones</formula1>
      <formula2>0</formula2>
    </dataValidation>
    <dataValidation type="list" sqref="F16" xr:uid="{00000000-0002-0000-0100-000003000000}">
      <formula1>rngThemes</formula1>
      <formula2>0</formula2>
    </dataValidation>
    <dataValidation type="list" sqref="F22" xr:uid="{00000000-0002-0000-0100-000004000000}">
      <formula1>rngDateFormats</formula1>
      <formula2>0</formula2>
    </dataValidation>
    <dataValidation type="list" sqref="F23" xr:uid="{00000000-0002-0000-0100-000005000000}">
      <formula1>rngWeekStart</formula1>
      <formula2>0</formula2>
    </dataValidation>
    <dataValidation type="list" sqref="F24" xr:uid="{00000000-0002-0000-0100-000006000000}">
      <formula1>rngNumberFormats</formula1>
      <formula2>0</formula2>
    </dataValidation>
    <dataValidation type="list" sqref="F9" xr:uid="{00000000-0002-0000-0100-000007000000}">
      <formula1>rngBusinessTypes</formula1>
      <formula2>0</formula2>
    </dataValidation>
  </dataValidations>
  <hyperlinks>
    <hyperlink ref="F2" location="Home!A1" display="Home" xr:uid="{00000000-0004-0000-0100-000000000000}"/>
    <hyperlink ref="G2" location="'Quick Add'!A1" display="Quick Add" xr:uid="{00000000-0004-0000-0100-000001000000}"/>
    <hyperlink ref="H2" location="Bills!A1" display="Bills" xr:uid="{00000000-0004-0000-0100-000002000000}"/>
    <hyperlink ref="J2" location="Clients!A1" display="Clients" xr:uid="{00000000-0004-0000-0100-000003000000}"/>
    <hyperlink ref="K2" location="Goals!A1" display="Goals" xr:uid="{00000000-0004-0000-0100-000004000000}"/>
    <hyperlink ref="L2" location="Home!B23" display="Insights" xr:uid="{00000000-0004-0000-0100-000005000000}"/>
  </hyperlink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showGridLines="0" showRowColHeaders="0" zoomScale="78" zoomScaleNormal="100" workbookViewId="0">
      <selection activeCell="H22" sqref="H22"/>
    </sheetView>
  </sheetViews>
  <sheetFormatPr defaultColWidth="16.7109375" defaultRowHeight="15"/>
  <cols>
    <col min="1" max="1" width="3.42578125" style="18" customWidth="1"/>
    <col min="2" max="2" width="12.7109375" style="18" customWidth="1"/>
    <col min="3" max="3" width="9.85546875" style="18" bestFit="1" customWidth="1"/>
    <col min="4" max="4" width="12.7109375" style="18" customWidth="1"/>
    <col min="5" max="5" width="7.42578125" style="18" bestFit="1" customWidth="1"/>
    <col min="6" max="6" width="7.85546875" style="18" bestFit="1" customWidth="1"/>
    <col min="7" max="7" width="44.85546875" style="18" bestFit="1" customWidth="1"/>
    <col min="8" max="8" width="11.140625" style="18" bestFit="1" customWidth="1"/>
    <col min="9" max="9" width="9.140625" style="18" bestFit="1" customWidth="1"/>
    <col min="10" max="10" width="15.5703125" style="18" bestFit="1" customWidth="1"/>
    <col min="11" max="11" width="12.28515625" style="18" bestFit="1" customWidth="1"/>
    <col min="12" max="12" width="11.140625" style="18" bestFit="1" customWidth="1"/>
    <col min="13" max="13" width="18.5703125" style="18" bestFit="1" customWidth="1"/>
    <col min="14" max="14" width="11.7109375" style="18" bestFit="1" customWidth="1"/>
    <col min="15" max="15" width="17.42578125" style="18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/>
      <c r="B2" s="74" t="str">
        <f>CurrentBusinessName</f>
        <v>Riverside Design Studio</v>
      </c>
      <c r="C2" s="57"/>
      <c r="D2" s="57"/>
      <c r="E2" s="2"/>
      <c r="F2" s="4" t="s">
        <v>0</v>
      </c>
      <c r="G2" s="3" t="s">
        <v>1</v>
      </c>
      <c r="H2" s="4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  <c r="O2" s="2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75" customHeight="1">
      <c r="A4" s="1"/>
      <c r="B4" s="55" t="s">
        <v>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25" customHeight="1">
      <c r="A6" s="1"/>
      <c r="B6" s="47" t="s">
        <v>43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58" t="s">
        <v>44</v>
      </c>
      <c r="C7" s="44"/>
      <c r="D7" s="44"/>
      <c r="E7" s="10"/>
      <c r="F7" s="71">
        <f ca="1">TODAY()</f>
        <v>46307</v>
      </c>
      <c r="G7" s="61"/>
      <c r="H7" s="61"/>
      <c r="I7" s="61"/>
      <c r="J7" s="61"/>
      <c r="K7" s="61"/>
      <c r="L7" s="61"/>
      <c r="M7" s="62"/>
      <c r="N7" s="1"/>
      <c r="O7" s="1"/>
    </row>
    <row r="8" spans="1:15" ht="18" customHeight="1">
      <c r="A8" s="1"/>
      <c r="B8" s="58" t="s">
        <v>45</v>
      </c>
      <c r="C8" s="44"/>
      <c r="D8" s="44"/>
      <c r="E8" s="10"/>
      <c r="F8" s="60" t="s">
        <v>46</v>
      </c>
      <c r="G8" s="61"/>
      <c r="H8" s="61"/>
      <c r="I8" s="61"/>
      <c r="J8" s="61"/>
      <c r="K8" s="61"/>
      <c r="L8" s="61"/>
      <c r="M8" s="62"/>
      <c r="N8" s="1"/>
      <c r="O8" s="1"/>
    </row>
    <row r="9" spans="1:15" ht="18" customHeight="1">
      <c r="A9" s="1"/>
      <c r="B9" s="58" t="s">
        <v>47</v>
      </c>
      <c r="C9" s="44"/>
      <c r="D9" s="44"/>
      <c r="E9" s="10"/>
      <c r="F9" s="73">
        <v>850</v>
      </c>
      <c r="G9" s="61"/>
      <c r="H9" s="61"/>
      <c r="I9" s="61"/>
      <c r="J9" s="61"/>
      <c r="K9" s="61"/>
      <c r="L9" s="61"/>
      <c r="M9" s="62"/>
      <c r="N9" s="1"/>
      <c r="O9" s="1"/>
    </row>
    <row r="10" spans="1:15" ht="18" customHeight="1">
      <c r="A10" s="1"/>
      <c r="B10" s="58" t="s">
        <v>48</v>
      </c>
      <c r="C10" s="44"/>
      <c r="D10" s="44"/>
      <c r="E10" s="10"/>
      <c r="F10" s="60" t="s">
        <v>49</v>
      </c>
      <c r="G10" s="61"/>
      <c r="H10" s="61"/>
      <c r="I10" s="61"/>
      <c r="J10" s="61"/>
      <c r="K10" s="61"/>
      <c r="L10" s="61"/>
      <c r="M10" s="62"/>
      <c r="N10" s="1"/>
      <c r="O10" s="1"/>
    </row>
    <row r="11" spans="1:15" ht="18" customHeight="1">
      <c r="A11" s="1"/>
      <c r="B11" s="58" t="s">
        <v>50</v>
      </c>
      <c r="C11" s="44"/>
      <c r="D11" s="44"/>
      <c r="E11" s="10"/>
      <c r="F11" s="60" t="s">
        <v>51</v>
      </c>
      <c r="G11" s="61"/>
      <c r="H11" s="61"/>
      <c r="I11" s="61"/>
      <c r="J11" s="61"/>
      <c r="K11" s="61"/>
      <c r="L11" s="61"/>
      <c r="M11" s="62"/>
      <c r="N11" s="1"/>
      <c r="O11" s="1"/>
    </row>
    <row r="12" spans="1:15" ht="18" customHeight="1">
      <c r="A12" s="1"/>
      <c r="B12" s="58" t="s">
        <v>52</v>
      </c>
      <c r="C12" s="44"/>
      <c r="D12" s="44"/>
      <c r="E12" s="10"/>
      <c r="F12" s="60" t="s">
        <v>53</v>
      </c>
      <c r="G12" s="61"/>
      <c r="H12" s="61"/>
      <c r="I12" s="61"/>
      <c r="J12" s="61"/>
      <c r="K12" s="61"/>
      <c r="L12" s="61"/>
      <c r="M12" s="62"/>
      <c r="N12" s="1"/>
      <c r="O12" s="1"/>
    </row>
    <row r="13" spans="1:15" ht="18" customHeight="1">
      <c r="A13" s="1"/>
      <c r="B13" s="58" t="s">
        <v>54</v>
      </c>
      <c r="C13" s="44"/>
      <c r="D13" s="44"/>
      <c r="E13" s="10"/>
      <c r="F13" s="60" t="s">
        <v>55</v>
      </c>
      <c r="G13" s="61"/>
      <c r="H13" s="61"/>
      <c r="I13" s="61"/>
      <c r="J13" s="61"/>
      <c r="K13" s="61"/>
      <c r="L13" s="61"/>
      <c r="M13" s="62"/>
      <c r="N13" s="1"/>
      <c r="O13" s="1"/>
    </row>
    <row r="14" spans="1:15">
      <c r="A14" s="1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25" customHeight="1">
      <c r="A16" s="1"/>
      <c r="B16" s="70" t="str">
        <f>IF(OR(F8="",F9="",F10=""),"Ready to save — fill in the form above first","Ready to save")</f>
        <v>Ready to save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1:15">
      <c r="A17" s="1"/>
      <c r="B17" s="72" t="s">
        <v>56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1:15">
      <c r="A18" s="1"/>
      <c r="B18" s="14" t="s">
        <v>57</v>
      </c>
      <c r="C18" s="14" t="s">
        <v>44</v>
      </c>
      <c r="D18" s="14" t="s">
        <v>58</v>
      </c>
      <c r="E18" s="14" t="s">
        <v>47</v>
      </c>
      <c r="F18" s="14" t="s">
        <v>59</v>
      </c>
      <c r="G18" s="14" t="s">
        <v>52</v>
      </c>
      <c r="H18" s="14" t="s">
        <v>60</v>
      </c>
      <c r="I18" s="14" t="s">
        <v>61</v>
      </c>
      <c r="J18" s="14" t="s">
        <v>62</v>
      </c>
      <c r="K18" s="14" t="s">
        <v>63</v>
      </c>
      <c r="L18" s="14" t="s">
        <v>64</v>
      </c>
      <c r="M18" s="14" t="s">
        <v>65</v>
      </c>
      <c r="N18" s="14" t="s">
        <v>66</v>
      </c>
      <c r="O18" s="14" t="s">
        <v>67</v>
      </c>
    </row>
    <row r="19" spans="1:15">
      <c r="A19" s="1"/>
      <c r="B19" s="15" t="str">
        <f t="array" ref="B19">"TXN-"&amp;TEXT(MAX(IFERROR(VALUE(MID(tbl_Transactions[TransactionID],5,10)),0))+1,"000000")</f>
        <v>TXN-000485</v>
      </c>
      <c r="C19" s="34">
        <f ca="1">F7</f>
        <v>46307</v>
      </c>
      <c r="D19" s="35" t="str">
        <f>IF(F8="","",F8)</f>
        <v>In</v>
      </c>
      <c r="E19" s="35">
        <f>IF(F9="","",F9)</f>
        <v>850</v>
      </c>
      <c r="F19" s="15" t="str">
        <f>IFERROR(INDEX(tbl_Categories[CategoryID],MATCH(F10,tbl_Categories[CategoryName],0)),"")</f>
        <v>CAT-003</v>
      </c>
      <c r="G19" s="15" t="str">
        <f>IF(F13="",F12,F12&amp;" -- Notes: "&amp;F13)</f>
        <v>Website design deposit -- Notes: 50% upfront payment</v>
      </c>
      <c r="H19" s="15" t="str">
        <f>IFERROR(INDEX(tbl_Customers[CustomerID],MATCH(F11,tbl_Customers[CustomerName],0)),"")</f>
        <v>CUS-001</v>
      </c>
      <c r="I19" s="15" t="str">
        <f>IFERROR(INDEX(tbl_Vendors[VendorID],MATCH(F11,tbl_Vendors[VendorName],0)),"")</f>
        <v/>
      </c>
      <c r="J19" s="15"/>
      <c r="K19" s="15"/>
      <c r="L19" s="15" t="b">
        <f>FALSE()</f>
        <v>0</v>
      </c>
      <c r="M19" s="15"/>
      <c r="N19" s="15" t="s">
        <v>68</v>
      </c>
      <c r="O19" s="36">
        <f ca="1">NOW()</f>
        <v>46307.094888888889</v>
      </c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9">
    <mergeCell ref="B2:D2"/>
    <mergeCell ref="B6:M6"/>
    <mergeCell ref="F13:M13"/>
    <mergeCell ref="B7:D7"/>
    <mergeCell ref="B4:M4"/>
    <mergeCell ref="F9:M9"/>
    <mergeCell ref="B12:D12"/>
    <mergeCell ref="F7:M7"/>
    <mergeCell ref="B10:D10"/>
    <mergeCell ref="F12:M12"/>
    <mergeCell ref="B9:D9"/>
    <mergeCell ref="B17:O17"/>
    <mergeCell ref="F8:M8"/>
    <mergeCell ref="B11:D11"/>
    <mergeCell ref="F11:M11"/>
    <mergeCell ref="B8:D8"/>
    <mergeCell ref="B16:O16"/>
    <mergeCell ref="F10:M10"/>
    <mergeCell ref="B13:D13"/>
  </mergeCells>
  <conditionalFormatting sqref="E19 F9">
    <cfRule type="expression" dxfId="37" priority="1">
      <formula>CurrentCurrency="GBP"</formula>
    </cfRule>
    <cfRule type="expression" dxfId="36" priority="2">
      <formula>CurrentCurrency="EUR"</formula>
    </cfRule>
    <cfRule type="expression" dxfId="35" priority="3">
      <formula>CurrentCurrency="PKR"</formula>
    </cfRule>
  </conditionalFormatting>
  <dataValidations count="7">
    <dataValidation type="date" operator="greaterThan" allowBlank="1" sqref="F7" xr:uid="{00000000-0002-0000-0200-000000000000}">
      <formula1>DATE(1999,12,31)</formula1>
      <formula2>0</formula2>
    </dataValidation>
    <dataValidation type="list" allowBlank="1" showErrorMessage="1" sqref="F8" xr:uid="{00000000-0002-0000-0200-000001000000}">
      <formula1>rngTransactionDirection</formula1>
      <formula2>0</formula2>
    </dataValidation>
    <dataValidation type="decimal" operator="greaterThan" allowBlank="1" sqref="F9" xr:uid="{00000000-0002-0000-0200-000002000000}">
      <formula1>0</formula1>
      <formula2>0</formula2>
    </dataValidation>
    <dataValidation type="list" allowBlank="1" showErrorMessage="1" sqref="F10" xr:uid="{00000000-0002-0000-0200-000003000000}">
      <formula1>CategoryNameList</formula1>
      <formula2>0</formula2>
    </dataValidation>
    <dataValidation type="list" errorStyle="information" allowBlank="1" sqref="F11" xr:uid="{00000000-0002-0000-0200-000004000000}">
      <formula1>PayeeNameList</formula1>
      <formula2>0</formula2>
    </dataValidation>
    <dataValidation type="textLength" operator="lessThanOrEqual" allowBlank="1" sqref="F12" xr:uid="{00000000-0002-0000-0200-000005000000}">
      <formula1>100</formula1>
      <formula2>0</formula2>
    </dataValidation>
    <dataValidation type="textLength" operator="lessThanOrEqual" allowBlank="1" sqref="F13" xr:uid="{00000000-0002-0000-0200-000006000000}">
      <formula1>200</formula1>
      <formula2>0</formula2>
    </dataValidation>
  </dataValidations>
  <hyperlinks>
    <hyperlink ref="F2" location="Home!A1" display="Home" xr:uid="{00000000-0004-0000-0200-000000000000}"/>
    <hyperlink ref="G2" location="'Quick Add'!A1" display="Quick Add" xr:uid="{00000000-0004-0000-0200-000001000000}"/>
    <hyperlink ref="H2" location="Bills!A1" display="Bills" xr:uid="{00000000-0004-0000-0200-000002000000}"/>
    <hyperlink ref="J2" location="Clients!A1" display="Clients" xr:uid="{00000000-0004-0000-0200-000003000000}"/>
    <hyperlink ref="K2" location="Goals!A1" display="Goals" xr:uid="{00000000-0004-0000-0200-000004000000}"/>
    <hyperlink ref="L2" location="Home!B23" display="Insights" xr:uid="{00000000-0004-0000-0200-000005000000}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showGridLines="0" showRowColHeaders="0" zoomScale="71" zoomScaleNormal="80" workbookViewId="0">
      <selection activeCell="W20" sqref="W20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3" t="s">
        <v>2</v>
      </c>
      <c r="I2" s="2"/>
      <c r="J2" s="4" t="s">
        <v>3</v>
      </c>
      <c r="K2" s="4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70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71</v>
      </c>
      <c r="C7" s="44"/>
      <c r="D7" s="44"/>
      <c r="E7" s="10"/>
      <c r="F7" s="79" t="s">
        <v>47</v>
      </c>
      <c r="G7" s="44"/>
      <c r="H7" s="79" t="s">
        <v>72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IFERROR(INDEX(tbl_Vendors[VendorName],MATCH(INDEX(tbl_Bills[VendorID],1),tbl_Vendors[VendorID],0)),"")</f>
        <v>City Wholesale Supplies</v>
      </c>
      <c r="C8" s="44"/>
      <c r="D8" s="44"/>
      <c r="E8" s="10"/>
      <c r="F8" s="76">
        <f>IFERROR(INDEX(tbl_Bills[Amount],1),"")</f>
        <v>89</v>
      </c>
      <c r="G8" s="44"/>
      <c r="H8" s="78">
        <f ca="1">IFERROR(INDEX(tbl_Bills[DueDate],1),"")</f>
        <v>46318</v>
      </c>
      <c r="I8" s="44"/>
      <c r="J8" s="44"/>
      <c r="K8" s="77" t="str">
        <f ca="1">IFERROR(IF(INDEX(tbl_Bills[Status],1)="Paid","Paid",IF(INDEX(tbl_Bills[DueDate],1)="","",IF(INDEX(tbl_Bills[DueDate],1)&lt;TODAY(),"Overdue","Upcoming"))),"")</f>
        <v>Upcoming</v>
      </c>
      <c r="L8" s="44"/>
      <c r="M8" s="52"/>
      <c r="N8" s="1"/>
      <c r="O8" s="1"/>
    </row>
    <row r="9" spans="1:15" ht="18" customHeight="1">
      <c r="A9" s="1"/>
      <c r="B9" s="75" t="str">
        <f>IFERROR(INDEX(tbl_Vendors[VendorName],MATCH(INDEX(tbl_Bills[VendorID],2),tbl_Vendors[VendorID],0)),"")</f>
        <v>City Wholesale Supplies</v>
      </c>
      <c r="C9" s="44"/>
      <c r="D9" s="44"/>
      <c r="E9" s="10"/>
      <c r="F9" s="76">
        <f>IFERROR(INDEX(tbl_Bills[Amount],2),"")</f>
        <v>150</v>
      </c>
      <c r="G9" s="44"/>
      <c r="H9" s="78">
        <f ca="1">IFERROR(INDEX(tbl_Bills[DueDate],2),"")</f>
        <v>46301</v>
      </c>
      <c r="I9" s="44"/>
      <c r="J9" s="44"/>
      <c r="K9" s="77" t="str">
        <f ca="1">IFERROR(IF(INDEX(tbl_Bills[Status],2)="Paid","Paid",IF(INDEX(tbl_Bills[DueDate],2)="","",IF(INDEX(tbl_Bills[DueDate],2)&lt;TODAY(),"Overdue","Upcoming"))),"")</f>
        <v>Overdue</v>
      </c>
      <c r="L9" s="44"/>
      <c r="M9" s="52"/>
      <c r="N9" s="1"/>
      <c r="O9" s="1"/>
    </row>
    <row r="10" spans="1:15" ht="18" customHeight="1">
      <c r="A10" s="1"/>
      <c r="B10" s="75" t="str">
        <f>IFERROR(INDEX(tbl_Vendors[VendorName],MATCH(INDEX(tbl_Bills[VendorID],3),tbl_Vendors[VendorID],0)),"")</f>
        <v/>
      </c>
      <c r="C10" s="44"/>
      <c r="D10" s="44"/>
      <c r="E10" s="10"/>
      <c r="F10" s="76" t="str">
        <f>IFERROR(INDEX(tbl_Bills[Amount],3),"")</f>
        <v/>
      </c>
      <c r="G10" s="44"/>
      <c r="H10" s="78" t="str">
        <f>IFERROR(INDEX(tbl_Bills[DueDate],3),"")</f>
        <v/>
      </c>
      <c r="I10" s="44"/>
      <c r="J10" s="44"/>
      <c r="K10" s="77" t="str">
        <f ca="1">IFERROR(IF(INDEX(tbl_Bills[Status],3)="Paid","Paid",IF(INDEX(tbl_Bills[DueDate],3)="","",IF(INDEX(tbl_Bills[DueDate],3)&lt;TODAY(),"Overdue","Upcoming"))),"")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IFERROR(INDEX(tbl_Vendors[VendorName],MATCH(INDEX(tbl_Bills[VendorID],4),tbl_Vendors[VendorID],0)),"")</f>
        <v/>
      </c>
      <c r="C11" s="44"/>
      <c r="D11" s="44"/>
      <c r="E11" s="10"/>
      <c r="F11" s="76" t="str">
        <f>IFERROR(INDEX(tbl_Bills[Amount],4),"")</f>
        <v/>
      </c>
      <c r="G11" s="44"/>
      <c r="H11" s="78" t="str">
        <f>IFERROR(INDEX(tbl_Bills[DueDate],4),"")</f>
        <v/>
      </c>
      <c r="I11" s="44"/>
      <c r="J11" s="44"/>
      <c r="K11" s="77" t="str">
        <f ca="1">IFERROR(IF(INDEX(tbl_Bills[Status],4)="Paid","Paid",IF(INDEX(tbl_Bills[DueDate],4)="","",IF(INDEX(tbl_Bills[DueDate],4)&lt;TODAY(),"Overdue","Upcoming"))),"")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IFERROR(INDEX(tbl_Vendors[VendorName],MATCH(INDEX(tbl_Bills[VendorID],5),tbl_Vendors[VendorID],0)),"")</f>
        <v/>
      </c>
      <c r="C12" s="44"/>
      <c r="D12" s="44"/>
      <c r="E12" s="10"/>
      <c r="F12" s="76" t="str">
        <f>IFERROR(INDEX(tbl_Bills[Amount],5),"")</f>
        <v/>
      </c>
      <c r="G12" s="44"/>
      <c r="H12" s="78" t="str">
        <f>IFERROR(INDEX(tbl_Bills[DueDate],5),"")</f>
        <v/>
      </c>
      <c r="I12" s="44"/>
      <c r="J12" s="44"/>
      <c r="K12" s="77" t="str">
        <f ca="1">IFERROR(IF(INDEX(tbl_Bills[Status],5)="Paid","Paid",IF(INDEX(tbl_Bills[DueDate],5)="","",IF(INDEX(tbl_Bills[DueDate],5)&lt;TODAY(),"Overdue","Upcoming"))),"")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IFERROR(INDEX(tbl_Vendors[VendorName],MATCH(INDEX(tbl_Bills[VendorID],6),tbl_Vendors[VendorID],0)),"")</f>
        <v/>
      </c>
      <c r="C13" s="44"/>
      <c r="D13" s="44"/>
      <c r="E13" s="10"/>
      <c r="F13" s="76" t="str">
        <f>IFERROR(INDEX(tbl_Bills[Amount],6),"")</f>
        <v/>
      </c>
      <c r="G13" s="44"/>
      <c r="H13" s="78" t="str">
        <f>IFERROR(INDEX(tbl_Bills[DueDate],6),"")</f>
        <v/>
      </c>
      <c r="I13" s="44"/>
      <c r="J13" s="44"/>
      <c r="K13" s="77" t="str">
        <f ca="1">IFERROR(IF(INDEX(tbl_Bills[Status],6)="Paid","Paid",IF(INDEX(tbl_Bills[DueDate],6)="","",IF(INDEX(tbl_Bills[DueDate],6)&lt;TODAY(),"Overdue","Upcoming"))),"")</f>
        <v/>
      </c>
      <c r="L13" s="44"/>
      <c r="M13" s="52"/>
      <c r="N13" s="1"/>
      <c r="O13" s="1"/>
    </row>
    <row r="14" spans="1:15" ht="18" customHeight="1">
      <c r="A14" s="1"/>
      <c r="B14" s="75" t="str">
        <f>IFERROR(INDEX(tbl_Vendors[VendorName],MATCH(INDEX(tbl_Bills[VendorID],7),tbl_Vendors[VendorID],0)),"")</f>
        <v/>
      </c>
      <c r="C14" s="44"/>
      <c r="D14" s="44"/>
      <c r="E14" s="10"/>
      <c r="F14" s="76" t="str">
        <f>IFERROR(INDEX(tbl_Bills[Amount],7),"")</f>
        <v/>
      </c>
      <c r="G14" s="44"/>
      <c r="H14" s="78" t="str">
        <f>IFERROR(INDEX(tbl_Bills[DueDate],7),"")</f>
        <v/>
      </c>
      <c r="I14" s="44"/>
      <c r="J14" s="44"/>
      <c r="K14" s="77" t="str">
        <f ca="1">IFERROR(IF(INDEX(tbl_Bills[Status],7)="Paid","Paid",IF(INDEX(tbl_Bills[DueDate],7)="","",IF(INDEX(tbl_Bills[DueDate],7)&lt;TODAY(),"Overdue","Upcoming"))),"")</f>
        <v/>
      </c>
      <c r="L14" s="44"/>
      <c r="M14" s="52"/>
      <c r="N14" s="1"/>
      <c r="O14" s="1"/>
    </row>
    <row r="15" spans="1:15" ht="18" customHeight="1">
      <c r="A15" s="1"/>
      <c r="B15" s="75" t="str">
        <f>IFERROR(INDEX(tbl_Vendors[VendorName],MATCH(INDEX(tbl_Bills[VendorID],8),tbl_Vendors[VendorID],0)),"")</f>
        <v/>
      </c>
      <c r="C15" s="44"/>
      <c r="D15" s="44"/>
      <c r="E15" s="10"/>
      <c r="F15" s="76" t="str">
        <f>IFERROR(INDEX(tbl_Bills[Amount],8),"")</f>
        <v/>
      </c>
      <c r="G15" s="44"/>
      <c r="H15" s="78" t="str">
        <f>IFERROR(INDEX(tbl_Bills[DueDate],8),"")</f>
        <v/>
      </c>
      <c r="I15" s="44"/>
      <c r="J15" s="44"/>
      <c r="K15" s="77" t="str">
        <f ca="1">IFERROR(IF(INDEX(tbl_Bills[Status],8)="Paid","Paid",IF(INDEX(tbl_Bills[DueDate],8)="","",IF(INDEX(tbl_Bills[DueDate],8)&lt;TODAY(),"Overdue","Upcoming"))),"")</f>
        <v/>
      </c>
      <c r="L15" s="44"/>
      <c r="M15" s="52"/>
      <c r="N15" s="1"/>
      <c r="O15" s="1"/>
    </row>
    <row r="16" spans="1:15" ht="18" customHeight="1">
      <c r="A16" s="1"/>
      <c r="B16" s="75" t="str">
        <f>IFERROR(INDEX(tbl_Vendors[VendorName],MATCH(INDEX(tbl_Bills[VendorID],9),tbl_Vendors[VendorID],0)),"")</f>
        <v/>
      </c>
      <c r="C16" s="44"/>
      <c r="D16" s="44"/>
      <c r="E16" s="10"/>
      <c r="F16" s="76" t="str">
        <f>IFERROR(INDEX(tbl_Bills[Amount],9),"")</f>
        <v/>
      </c>
      <c r="G16" s="44"/>
      <c r="H16" s="78" t="str">
        <f>IFERROR(INDEX(tbl_Bills[DueDate],9),"")</f>
        <v/>
      </c>
      <c r="I16" s="44"/>
      <c r="J16" s="44"/>
      <c r="K16" s="77" t="str">
        <f ca="1">IFERROR(IF(INDEX(tbl_Bills[Status],9)="Paid","Paid",IF(INDEX(tbl_Bills[DueDate],9)="","",IF(INDEX(tbl_Bills[DueDate],9)&lt;TODAY(),"Overdue","Upcoming"))),"")</f>
        <v/>
      </c>
      <c r="L16" s="44"/>
      <c r="M16" s="52"/>
      <c r="N16" s="1"/>
      <c r="O16" s="1"/>
    </row>
    <row r="17" spans="1:15" ht="18" customHeight="1">
      <c r="A17" s="1"/>
      <c r="B17" s="75" t="str">
        <f>IFERROR(INDEX(tbl_Vendors[VendorName],MATCH(INDEX(tbl_Bills[VendorID],10),tbl_Vendors[VendorID],0)),"")</f>
        <v/>
      </c>
      <c r="C17" s="44"/>
      <c r="D17" s="44"/>
      <c r="E17" s="10"/>
      <c r="F17" s="76" t="str">
        <f>IFERROR(INDEX(tbl_Bills[Amount],10),"")</f>
        <v/>
      </c>
      <c r="G17" s="44"/>
      <c r="H17" s="78" t="str">
        <f>IFERROR(INDEX(tbl_Bills[DueDate],10),"")</f>
        <v/>
      </c>
      <c r="I17" s="44"/>
      <c r="J17" s="44"/>
      <c r="K17" s="77" t="str">
        <f ca="1">IFERROR(IF(INDEX(tbl_Bills[Status],10)="Paid","Paid",IF(INDEX(tbl_Bills[DueDate],10)="","",IF(INDEX(tbl_Bills[DueDate],10)&lt;TODAY(),"Overdue","Upcoming"))),"")</f>
        <v/>
      </c>
      <c r="L17" s="44"/>
      <c r="M17" s="52"/>
      <c r="N17" s="1"/>
      <c r="O17" s="1"/>
    </row>
    <row r="18" spans="1:15" ht="15.75" customHeight="1">
      <c r="A18" s="1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  <c r="N18" s="1"/>
      <c r="O18" s="1"/>
    </row>
    <row r="19" spans="1:15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9.5" customHeight="1">
      <c r="A20" s="1"/>
      <c r="B20" s="47" t="s">
        <v>74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9"/>
      <c r="N20" s="1"/>
      <c r="O20" s="1"/>
    </row>
    <row r="21" spans="1:15" ht="21.75" customHeight="1">
      <c r="A21" s="1"/>
      <c r="B21" s="58" t="s">
        <v>71</v>
      </c>
      <c r="C21" s="44"/>
      <c r="D21" s="44"/>
      <c r="E21" s="10"/>
      <c r="F21" s="60"/>
      <c r="G21" s="61"/>
      <c r="H21" s="61"/>
      <c r="I21" s="61"/>
      <c r="J21" s="61"/>
      <c r="K21" s="61"/>
      <c r="L21" s="61"/>
      <c r="M21" s="62"/>
      <c r="N21" s="1"/>
      <c r="O21" s="1"/>
    </row>
    <row r="22" spans="1:15" ht="21.75" customHeight="1">
      <c r="A22" s="1"/>
      <c r="B22" s="58" t="s">
        <v>47</v>
      </c>
      <c r="C22" s="44"/>
      <c r="D22" s="44"/>
      <c r="E22" s="10"/>
      <c r="F22" s="73"/>
      <c r="G22" s="61"/>
      <c r="H22" s="61"/>
      <c r="I22" s="61"/>
      <c r="J22" s="61"/>
      <c r="K22" s="61"/>
      <c r="L22" s="61"/>
      <c r="M22" s="62"/>
      <c r="N22" s="1"/>
      <c r="O22" s="1"/>
    </row>
    <row r="23" spans="1:15" ht="21.75" customHeight="1">
      <c r="A23" s="1"/>
      <c r="B23" s="58" t="s">
        <v>72</v>
      </c>
      <c r="C23" s="44"/>
      <c r="D23" s="44"/>
      <c r="E23" s="10"/>
      <c r="F23" s="71"/>
      <c r="G23" s="61"/>
      <c r="H23" s="61"/>
      <c r="I23" s="61"/>
      <c r="J23" s="61"/>
      <c r="K23" s="61"/>
      <c r="L23" s="61"/>
      <c r="M23" s="62"/>
      <c r="N23" s="1"/>
      <c r="O23" s="1"/>
    </row>
    <row r="24" spans="1:15" ht="21.75" customHeight="1">
      <c r="A24" s="1"/>
      <c r="B24" s="58" t="s">
        <v>75</v>
      </c>
      <c r="C24" s="44"/>
      <c r="D24" s="44"/>
      <c r="E24" s="10"/>
      <c r="F24" s="60"/>
      <c r="G24" s="61"/>
      <c r="H24" s="61"/>
      <c r="I24" s="61"/>
      <c r="J24" s="61"/>
      <c r="K24" s="61"/>
      <c r="L24" s="61"/>
      <c r="M24" s="62"/>
      <c r="N24" s="1"/>
      <c r="O24" s="1"/>
    </row>
    <row r="25" spans="1:15" ht="21.75" customHeight="1">
      <c r="A25" s="1"/>
      <c r="B25" s="58" t="s">
        <v>76</v>
      </c>
      <c r="C25" s="44"/>
      <c r="D25" s="44"/>
      <c r="E25" s="10"/>
      <c r="F25" s="60"/>
      <c r="G25" s="61"/>
      <c r="H25" s="61"/>
      <c r="I25" s="61"/>
      <c r="J25" s="61"/>
      <c r="K25" s="61"/>
      <c r="L25" s="61"/>
      <c r="M25" s="62"/>
      <c r="N25" s="1"/>
      <c r="O25" s="1"/>
    </row>
    <row r="26" spans="1:15" ht="21.75" customHeight="1">
      <c r="A26" s="1"/>
      <c r="B26" s="58" t="s">
        <v>54</v>
      </c>
      <c r="C26" s="44"/>
      <c r="D26" s="44"/>
      <c r="E26" s="10"/>
      <c r="F26" s="60"/>
      <c r="G26" s="61"/>
      <c r="H26" s="61"/>
      <c r="I26" s="61"/>
      <c r="J26" s="61"/>
      <c r="K26" s="61"/>
      <c r="L26" s="61"/>
      <c r="M26" s="62"/>
      <c r="N26" s="1"/>
      <c r="O26" s="1"/>
    </row>
    <row r="27" spans="1:15" ht="15.75" customHeight="1">
      <c r="A27" s="1"/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8"/>
      <c r="N27" s="1"/>
      <c r="O27" s="1"/>
    </row>
    <row r="28" spans="1:15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9.5" customHeight="1">
      <c r="A29" s="1"/>
      <c r="B29" s="70" t="str">
        <f>IF(OR(F21="",F22="",F23=""),"Ready to save — fill in the form above first","Ready to save")</f>
        <v>Ready to save — fill in the form above first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1"/>
      <c r="O29" s="1"/>
    </row>
    <row r="30" spans="1:15" ht="33.75" customHeight="1">
      <c r="A30" s="1"/>
      <c r="B30" s="72" t="s">
        <v>77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1"/>
      <c r="O30" s="1"/>
    </row>
    <row r="31" spans="1:15" ht="19.5" customHeight="1">
      <c r="A31" s="1"/>
      <c r="B31" s="14" t="s">
        <v>78</v>
      </c>
      <c r="C31" s="14" t="s">
        <v>61</v>
      </c>
      <c r="D31" s="14" t="s">
        <v>47</v>
      </c>
      <c r="E31" s="14" t="s">
        <v>79</v>
      </c>
      <c r="F31" s="14" t="s">
        <v>64</v>
      </c>
      <c r="G31" s="14" t="s">
        <v>80</v>
      </c>
      <c r="H31" s="14" t="s">
        <v>73</v>
      </c>
      <c r="I31" s="14" t="s">
        <v>81</v>
      </c>
      <c r="J31" s="14" t="s">
        <v>82</v>
      </c>
      <c r="K31" s="16"/>
      <c r="L31" s="16"/>
      <c r="M31" s="16"/>
      <c r="N31" s="1"/>
      <c r="O31" s="1"/>
    </row>
    <row r="32" spans="1:15" ht="19.5" customHeight="1">
      <c r="A32" s="1"/>
      <c r="B32" s="15" t="str">
        <f t="array" ref="B32">"BILL-"&amp;TEXT(MAX(IFERROR(VALUE(MID(tbl_Bills[BillID],6,10)),0))+1,"0000")</f>
        <v>BILL-0003</v>
      </c>
      <c r="C32" s="15" t="str">
        <f>IFERROR(INDEX(tbl_Vendors[VendorID],MATCH(F21,tbl_Vendors[VendorName],0)),"")</f>
        <v/>
      </c>
      <c r="D32" s="35" t="str">
        <f>IF(F22="","",F22)</f>
        <v/>
      </c>
      <c r="E32" s="34" t="str">
        <f>IF(F23="","",F23)</f>
        <v/>
      </c>
      <c r="F32" s="15" t="b">
        <f>IF(F24="",FALSE,F24)</f>
        <v>0</v>
      </c>
      <c r="G32" s="15" t="str">
        <f>IF(F25="","",F25)</f>
        <v/>
      </c>
      <c r="H32" s="15" t="str">
        <f ca="1">IF(F23="","",IF(F23&lt;TODAY(),"Overdue","Upcoming"))</f>
        <v/>
      </c>
      <c r="I32" s="15"/>
      <c r="J32" s="15" t="str">
        <f>IF(F26="","",F26)</f>
        <v/>
      </c>
      <c r="K32" s="16"/>
      <c r="L32" s="16"/>
      <c r="M32" s="16"/>
      <c r="N32" s="1"/>
      <c r="O32" s="1"/>
    </row>
    <row r="33" spans="1:15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sheetProtection password="ECAF" sheet="1" formatCells="0" formatColumns="0" formatRows="0" insertColumns="0" insertRows="0" deleteColumns="0" deleteRows="0" sort="0" autoFilter="0"/>
  <mergeCells count="62">
    <mergeCell ref="B2:D2"/>
    <mergeCell ref="B4:M4"/>
    <mergeCell ref="B7:D7"/>
    <mergeCell ref="B16:D16"/>
    <mergeCell ref="F9:G9"/>
    <mergeCell ref="K15:M15"/>
    <mergeCell ref="H10:J10"/>
    <mergeCell ref="K9:M9"/>
    <mergeCell ref="F14:G14"/>
    <mergeCell ref="H9:J9"/>
    <mergeCell ref="B12:D12"/>
    <mergeCell ref="B6:M6"/>
    <mergeCell ref="K10:M10"/>
    <mergeCell ref="H14:J14"/>
    <mergeCell ref="B20:M20"/>
    <mergeCell ref="K13:M13"/>
    <mergeCell ref="H8:J8"/>
    <mergeCell ref="K11:M11"/>
    <mergeCell ref="F13:G13"/>
    <mergeCell ref="K16:M16"/>
    <mergeCell ref="B30:M30"/>
    <mergeCell ref="B24:D24"/>
    <mergeCell ref="F17:G17"/>
    <mergeCell ref="K7:M7"/>
    <mergeCell ref="F8:G8"/>
    <mergeCell ref="H15:J15"/>
    <mergeCell ref="F26:M26"/>
    <mergeCell ref="F23:M23"/>
    <mergeCell ref="B26:D26"/>
    <mergeCell ref="F22:M22"/>
    <mergeCell ref="B25:D25"/>
    <mergeCell ref="B22:D22"/>
    <mergeCell ref="B21:D21"/>
    <mergeCell ref="H7:J7"/>
    <mergeCell ref="B29:M29"/>
    <mergeCell ref="F7:G7"/>
    <mergeCell ref="B10:D10"/>
    <mergeCell ref="H16:J16"/>
    <mergeCell ref="K8:M8"/>
    <mergeCell ref="F12:G12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F10:G10"/>
    <mergeCell ref="B8:D8"/>
    <mergeCell ref="F25:M25"/>
    <mergeCell ref="B17:D17"/>
    <mergeCell ref="B13:D13"/>
    <mergeCell ref="K12:M12"/>
    <mergeCell ref="H17:J17"/>
    <mergeCell ref="H11:J11"/>
    <mergeCell ref="B11:D11"/>
    <mergeCell ref="F11:G11"/>
    <mergeCell ref="B14:D14"/>
    <mergeCell ref="B23:D23"/>
    <mergeCell ref="F16:G16"/>
  </mergeCells>
  <conditionalFormatting sqref="K8">
    <cfRule type="expression" dxfId="34" priority="2">
      <formula>EXACT(K8,"Overdue")</formula>
    </cfRule>
  </conditionalFormatting>
  <conditionalFormatting sqref="K9">
    <cfRule type="expression" dxfId="33" priority="3">
      <formula>EXACT(K9,"Overdue")</formula>
    </cfRule>
  </conditionalFormatting>
  <conditionalFormatting sqref="K10">
    <cfRule type="expression" dxfId="32" priority="4">
      <formula>EXACT(K10,"Overdue")</formula>
    </cfRule>
  </conditionalFormatting>
  <conditionalFormatting sqref="K11">
    <cfRule type="expression" dxfId="31" priority="5">
      <formula>EXACT(K11,"Overdue")</formula>
    </cfRule>
  </conditionalFormatting>
  <conditionalFormatting sqref="K12">
    <cfRule type="expression" dxfId="30" priority="6">
      <formula>EXACT(K12,"Overdue")</formula>
    </cfRule>
  </conditionalFormatting>
  <conditionalFormatting sqref="K13">
    <cfRule type="expression" dxfId="29" priority="7">
      <formula>EXACT(K13,"Overdue")</formula>
    </cfRule>
  </conditionalFormatting>
  <conditionalFormatting sqref="K14">
    <cfRule type="expression" dxfId="28" priority="8">
      <formula>EXACT(K14,"Overdue")</formula>
    </cfRule>
  </conditionalFormatting>
  <conditionalFormatting sqref="K15">
    <cfRule type="expression" dxfId="27" priority="9">
      <formula>EXACT(K15,"Overdue")</formula>
    </cfRule>
  </conditionalFormatting>
  <conditionalFormatting sqref="K16">
    <cfRule type="expression" dxfId="26" priority="10">
      <formula>EXACT(K16,"Overdue")</formula>
    </cfRule>
  </conditionalFormatting>
  <conditionalFormatting sqref="K17">
    <cfRule type="expression" dxfId="25" priority="11">
      <formula>EXACT(K17,"Overdue")</formula>
    </cfRule>
  </conditionalFormatting>
  <conditionalFormatting sqref="D32 F8 F9 F10 F11 F12 F13 F14 F15 F16 F17 F22">
    <cfRule type="expression" dxfId="24" priority="12">
      <formula>CurrentCurrency="GBP"</formula>
    </cfRule>
    <cfRule type="expression" dxfId="23" priority="12">
      <formula>CurrentCurrency="EUR"</formula>
    </cfRule>
    <cfRule type="expression" dxfId="22" priority="13">
      <formula>CurrentCurrency="PKR"</formula>
    </cfRule>
  </conditionalFormatting>
  <dataValidations count="5">
    <dataValidation type="decimal" operator="greaterThan" allowBlank="1" sqref="F22" xr:uid="{00000000-0002-0000-0300-000000000000}">
      <formula1>0</formula1>
      <formula2>0</formula2>
    </dataValidation>
    <dataValidation type="list" errorStyle="information" allowBlank="1" sqref="F21" xr:uid="{00000000-0002-0000-0300-000001000000}">
      <formula1>VendorNameList</formula1>
      <formula2>0</formula2>
    </dataValidation>
    <dataValidation type="date" operator="greaterThan" allowBlank="1" sqref="F23" xr:uid="{00000000-0002-0000-0300-000002000000}">
      <formula1>DATE(1999,12,31)</formula1>
      <formula2>0</formula2>
    </dataValidation>
    <dataValidation type="list" allowBlank="1" showErrorMessage="1" sqref="F24" xr:uid="{00000000-0002-0000-0300-000003000000}">
      <formula1>rngBooleanChoice</formula1>
      <formula2>0</formula2>
    </dataValidation>
    <dataValidation type="list" allowBlank="1" showErrorMessage="1" sqref="F25" xr:uid="{00000000-0002-0000-0300-000004000000}">
      <formula1>rngRecurrenceFrequencies</formula1>
      <formula2>0</formula2>
    </dataValidation>
  </dataValidations>
  <hyperlinks>
    <hyperlink ref="F2" location="Home!A1" display="Home" xr:uid="{00000000-0004-0000-0300-000000000000}"/>
    <hyperlink ref="G2" location="'Quick Add'!A1" display="Quick Add" xr:uid="{00000000-0004-0000-0300-000001000000}"/>
    <hyperlink ref="H2" location="Bills!A1" display="Bills" xr:uid="{00000000-0004-0000-0300-000002000000}"/>
    <hyperlink ref="J2" location="Clients!A1" display="Clients" xr:uid="{00000000-0004-0000-0300-000003000000}"/>
    <hyperlink ref="K2" location="Goals!A1" display="Goals" xr:uid="{00000000-0004-0000-0300-000004000000}"/>
    <hyperlink ref="L2" location="Home!B23" display="Insights" xr:uid="{00000000-0004-0000-03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showRowColHeaders="0" topLeftCell="A2" zoomScale="77" zoomScaleNormal="100" workbookViewId="0"/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3" t="s">
        <v>3</v>
      </c>
      <c r="K2" s="4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83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84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85</v>
      </c>
      <c r="C7" s="44"/>
      <c r="D7" s="44"/>
      <c r="E7" s="10"/>
      <c r="F7" s="79" t="s">
        <v>47</v>
      </c>
      <c r="G7" s="44"/>
      <c r="H7" s="79" t="s">
        <v>72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IFERROR(INDEX(tbl_Customers[CustomerName],MATCH(INDEX(tbl_Invoices[CustomerID],1),tbl_Customers[CustomerID],0)),"")</f>
        <v>Blue Harbor Cafe</v>
      </c>
      <c r="C8" s="44"/>
      <c r="D8" s="44"/>
      <c r="E8" s="10"/>
      <c r="F8" s="76">
        <f>IFERROR(INDEX(tbl_Invoices[Amount],1),"")</f>
        <v>1200</v>
      </c>
      <c r="G8" s="44"/>
      <c r="H8" s="78">
        <f ca="1">IFERROR(INDEX(tbl_Invoices[DueDate],1),"")</f>
        <v>46291</v>
      </c>
      <c r="I8" s="44"/>
      <c r="J8" s="44"/>
      <c r="K8" s="77" t="str">
        <f ca="1">IFERROR(IF(OR(INDEX(tbl_Invoices[Status],1)="Paid",INDEX(tbl_Invoices[Status],1)="Void",INDEX(tbl_Invoices[Status],1)="Draft"),INDEX(tbl_Invoices[Status],1),IF(INDEX(tbl_Invoices[DueDate],1)="","",IF(INDEX(tbl_Invoices[DueDate],1)&lt;TODAY(),"Overdue","Sent"))),"")</f>
        <v>Overdue</v>
      </c>
      <c r="L8" s="44"/>
      <c r="M8" s="52"/>
      <c r="N8" s="1"/>
      <c r="O8" s="1"/>
    </row>
    <row r="9" spans="1:15" ht="18" customHeight="1">
      <c r="A9" s="1"/>
      <c r="B9" s="75" t="str">
        <f>IFERROR(INDEX(tbl_Customers[CustomerName],MATCH(INDEX(tbl_Invoices[CustomerID],2),tbl_Customers[CustomerID],0)),"")</f>
        <v>Blue Harbor Cafe</v>
      </c>
      <c r="C9" s="44"/>
      <c r="D9" s="44"/>
      <c r="E9" s="10"/>
      <c r="F9" s="76">
        <f>IFERROR(INDEX(tbl_Invoices[Amount],2),"")</f>
        <v>500</v>
      </c>
      <c r="G9" s="44"/>
      <c r="H9" s="78">
        <f ca="1">IFERROR(INDEX(tbl_Invoices[DueDate],2),"")</f>
        <v>46317</v>
      </c>
      <c r="I9" s="44"/>
      <c r="J9" s="44"/>
      <c r="K9" s="77" t="str">
        <f ca="1">IFERROR(IF(OR(INDEX(tbl_Invoices[Status],2)="Paid",INDEX(tbl_Invoices[Status],2)="Void",INDEX(tbl_Invoices[Status],2)="Draft"),INDEX(tbl_Invoices[Status],2),IF(INDEX(tbl_Invoices[DueDate],2)="","",IF(INDEX(tbl_Invoices[DueDate],2)&lt;TODAY(),"Overdue","Sent"))),"")</f>
        <v>Sent</v>
      </c>
      <c r="L9" s="44"/>
      <c r="M9" s="52"/>
      <c r="N9" s="1"/>
      <c r="O9" s="1"/>
    </row>
    <row r="10" spans="1:15" ht="18" customHeight="1">
      <c r="A10" s="1"/>
      <c r="B10" s="75" t="str">
        <f>IFERROR(INDEX(tbl_Customers[CustomerName],MATCH(INDEX(tbl_Invoices[CustomerID],3),tbl_Customers[CustomerID],0)),"")</f>
        <v/>
      </c>
      <c r="C10" s="44"/>
      <c r="D10" s="44"/>
      <c r="E10" s="10"/>
      <c r="F10" s="76" t="str">
        <f>IFERROR(INDEX(tbl_Invoices[Amount],3),"")</f>
        <v/>
      </c>
      <c r="G10" s="44"/>
      <c r="H10" s="78" t="str">
        <f>IFERROR(INDEX(tbl_Invoices[DueDate],3),"")</f>
        <v/>
      </c>
      <c r="I10" s="44"/>
      <c r="J10" s="44"/>
      <c r="K10" s="77" t="str">
        <f ca="1">IFERROR(IF(OR(INDEX(tbl_Invoices[Status],3)="Paid",INDEX(tbl_Invoices[Status],3)="Void",INDEX(tbl_Invoices[Status],3)="Draft"),INDEX(tbl_Invoices[Status],3),IF(INDEX(tbl_Invoices[DueDate],3)="","",IF(INDEX(tbl_Invoices[DueDate],3)&lt;TODAY(),"Overdue","Sent"))),"")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IFERROR(INDEX(tbl_Customers[CustomerName],MATCH(INDEX(tbl_Invoices[CustomerID],4),tbl_Customers[CustomerID],0)),"")</f>
        <v/>
      </c>
      <c r="C11" s="44"/>
      <c r="D11" s="44"/>
      <c r="E11" s="10"/>
      <c r="F11" s="76" t="str">
        <f>IFERROR(INDEX(tbl_Invoices[Amount],4),"")</f>
        <v/>
      </c>
      <c r="G11" s="44"/>
      <c r="H11" s="78" t="str">
        <f>IFERROR(INDEX(tbl_Invoices[DueDate],4),"")</f>
        <v/>
      </c>
      <c r="I11" s="44"/>
      <c r="J11" s="44"/>
      <c r="K11" s="77" t="str">
        <f ca="1">IFERROR(IF(OR(INDEX(tbl_Invoices[Status],4)="Paid",INDEX(tbl_Invoices[Status],4)="Void",INDEX(tbl_Invoices[Status],4)="Draft"),INDEX(tbl_Invoices[Status],4),IF(INDEX(tbl_Invoices[DueDate],4)="","",IF(INDEX(tbl_Invoices[DueDate],4)&lt;TODAY(),"Overdue","Sent"))),"")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IFERROR(INDEX(tbl_Customers[CustomerName],MATCH(INDEX(tbl_Invoices[CustomerID],5),tbl_Customers[CustomerID],0)),"")</f>
        <v/>
      </c>
      <c r="C12" s="44"/>
      <c r="D12" s="44"/>
      <c r="E12" s="10"/>
      <c r="F12" s="76" t="str">
        <f>IFERROR(INDEX(tbl_Invoices[Amount],5),"")</f>
        <v/>
      </c>
      <c r="G12" s="44"/>
      <c r="H12" s="78" t="str">
        <f>IFERROR(INDEX(tbl_Invoices[DueDate],5),"")</f>
        <v/>
      </c>
      <c r="I12" s="44"/>
      <c r="J12" s="44"/>
      <c r="K12" s="77" t="str">
        <f ca="1">IFERROR(IF(OR(INDEX(tbl_Invoices[Status],5)="Paid",INDEX(tbl_Invoices[Status],5)="Void",INDEX(tbl_Invoices[Status],5)="Draft"),INDEX(tbl_Invoices[Status],5),IF(INDEX(tbl_Invoices[DueDate],5)="","",IF(INDEX(tbl_Invoices[DueDate],5)&lt;TODAY(),"Overdue","Sent"))),"")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IFERROR(INDEX(tbl_Customers[CustomerName],MATCH(INDEX(tbl_Invoices[CustomerID],6),tbl_Customers[CustomerID],0)),"")</f>
        <v/>
      </c>
      <c r="C13" s="44"/>
      <c r="D13" s="44"/>
      <c r="E13" s="10"/>
      <c r="F13" s="76" t="str">
        <f>IFERROR(INDEX(tbl_Invoices[Amount],6),"")</f>
        <v/>
      </c>
      <c r="G13" s="44"/>
      <c r="H13" s="78" t="str">
        <f>IFERROR(INDEX(tbl_Invoices[DueDate],6),"")</f>
        <v/>
      </c>
      <c r="I13" s="44"/>
      <c r="J13" s="44"/>
      <c r="K13" s="77" t="str">
        <f ca="1">IFERROR(IF(OR(INDEX(tbl_Invoices[Status],6)="Paid",INDEX(tbl_Invoices[Status],6)="Void",INDEX(tbl_Invoices[Status],6)="Draft"),INDEX(tbl_Invoices[Status],6),IF(INDEX(tbl_Invoices[DueDate],6)="","",IF(INDEX(tbl_Invoices[DueDate],6)&lt;TODAY(),"Overdue","Sent"))),"")</f>
        <v/>
      </c>
      <c r="L13" s="44"/>
      <c r="M13" s="52"/>
      <c r="N13" s="1"/>
      <c r="O13" s="1"/>
    </row>
    <row r="14" spans="1:15" ht="18" customHeight="1">
      <c r="A14" s="1"/>
      <c r="B14" s="75" t="str">
        <f>IFERROR(INDEX(tbl_Customers[CustomerName],MATCH(INDEX(tbl_Invoices[CustomerID],7),tbl_Customers[CustomerID],0)),"")</f>
        <v/>
      </c>
      <c r="C14" s="44"/>
      <c r="D14" s="44"/>
      <c r="E14" s="10"/>
      <c r="F14" s="76" t="str">
        <f>IFERROR(INDEX(tbl_Invoices[Amount],7),"")</f>
        <v/>
      </c>
      <c r="G14" s="44"/>
      <c r="H14" s="78" t="str">
        <f>IFERROR(INDEX(tbl_Invoices[DueDate],7),"")</f>
        <v/>
      </c>
      <c r="I14" s="44"/>
      <c r="J14" s="44"/>
      <c r="K14" s="77" t="str">
        <f ca="1">IFERROR(IF(OR(INDEX(tbl_Invoices[Status],7)="Paid",INDEX(tbl_Invoices[Status],7)="Void",INDEX(tbl_Invoices[Status],7)="Draft"),INDEX(tbl_Invoices[Status],7),IF(INDEX(tbl_Invoices[DueDate],7)="","",IF(INDEX(tbl_Invoices[DueDate],7)&lt;TODAY(),"Overdue","Sent"))),"")</f>
        <v/>
      </c>
      <c r="L14" s="44"/>
      <c r="M14" s="52"/>
      <c r="N14" s="1"/>
      <c r="O14" s="1"/>
    </row>
    <row r="15" spans="1:15" ht="18" customHeight="1">
      <c r="A15" s="1"/>
      <c r="B15" s="75" t="str">
        <f>IFERROR(INDEX(tbl_Customers[CustomerName],MATCH(INDEX(tbl_Invoices[CustomerID],8),tbl_Customers[CustomerID],0)),"")</f>
        <v/>
      </c>
      <c r="C15" s="44"/>
      <c r="D15" s="44"/>
      <c r="E15" s="10"/>
      <c r="F15" s="76" t="str">
        <f>IFERROR(INDEX(tbl_Invoices[Amount],8),"")</f>
        <v/>
      </c>
      <c r="G15" s="44"/>
      <c r="H15" s="78" t="str">
        <f>IFERROR(INDEX(tbl_Invoices[DueDate],8),"")</f>
        <v/>
      </c>
      <c r="I15" s="44"/>
      <c r="J15" s="44"/>
      <c r="K15" s="77" t="str">
        <f ca="1">IFERROR(IF(OR(INDEX(tbl_Invoices[Status],8)="Paid",INDEX(tbl_Invoices[Status],8)="Void",INDEX(tbl_Invoices[Status],8)="Draft"),INDEX(tbl_Invoices[Status],8),IF(INDEX(tbl_Invoices[DueDate],8)="","",IF(INDEX(tbl_Invoices[DueDate],8)&lt;TODAY(),"Overdue","Sent"))),"")</f>
        <v/>
      </c>
      <c r="L15" s="44"/>
      <c r="M15" s="52"/>
      <c r="N15" s="1"/>
      <c r="O15" s="1"/>
    </row>
    <row r="16" spans="1:15" ht="18" customHeight="1">
      <c r="A16" s="1"/>
      <c r="B16" s="75" t="str">
        <f>IFERROR(INDEX(tbl_Customers[CustomerName],MATCH(INDEX(tbl_Invoices[CustomerID],9),tbl_Customers[CustomerID],0)),"")</f>
        <v/>
      </c>
      <c r="C16" s="44"/>
      <c r="D16" s="44"/>
      <c r="E16" s="10"/>
      <c r="F16" s="76" t="str">
        <f>IFERROR(INDEX(tbl_Invoices[Amount],9),"")</f>
        <v/>
      </c>
      <c r="G16" s="44"/>
      <c r="H16" s="78" t="str">
        <f>IFERROR(INDEX(tbl_Invoices[DueDate],9),"")</f>
        <v/>
      </c>
      <c r="I16" s="44"/>
      <c r="J16" s="44"/>
      <c r="K16" s="77" t="str">
        <f ca="1">IFERROR(IF(OR(INDEX(tbl_Invoices[Status],9)="Paid",INDEX(tbl_Invoices[Status],9)="Void",INDEX(tbl_Invoices[Status],9)="Draft"),INDEX(tbl_Invoices[Status],9),IF(INDEX(tbl_Invoices[DueDate],9)="","",IF(INDEX(tbl_Invoices[DueDate],9)&lt;TODAY(),"Overdue","Sent"))),"")</f>
        <v/>
      </c>
      <c r="L16" s="44"/>
      <c r="M16" s="52"/>
      <c r="N16" s="1"/>
      <c r="O16" s="1"/>
    </row>
    <row r="17" spans="1:15" ht="18" customHeight="1">
      <c r="A17" s="1"/>
      <c r="B17" s="75" t="str">
        <f>IFERROR(INDEX(tbl_Customers[CustomerName],MATCH(INDEX(tbl_Invoices[CustomerID],10),tbl_Customers[CustomerID],0)),"")</f>
        <v/>
      </c>
      <c r="C17" s="44"/>
      <c r="D17" s="44"/>
      <c r="E17" s="10"/>
      <c r="F17" s="76" t="str">
        <f>IFERROR(INDEX(tbl_Invoices[Amount],10),"")</f>
        <v/>
      </c>
      <c r="G17" s="44"/>
      <c r="H17" s="78" t="str">
        <f>IFERROR(INDEX(tbl_Invoices[DueDate],10),"")</f>
        <v/>
      </c>
      <c r="I17" s="44"/>
      <c r="J17" s="44"/>
      <c r="K17" s="77" t="str">
        <f ca="1">IFERROR(IF(OR(INDEX(tbl_Invoices[Status],10)="Paid",INDEX(tbl_Invoices[Status],10)="Void",INDEX(tbl_Invoices[Status],10)="Draft"),INDEX(tbl_Invoices[Status],10),IF(INDEX(tbl_Invoices[DueDate],10)="","",IF(INDEX(tbl_Invoices[DueDate],10)&lt;TODAY(),"Overdue","Sent"))),"")</f>
        <v/>
      </c>
      <c r="L17" s="44"/>
      <c r="M17" s="52"/>
      <c r="N17" s="1"/>
      <c r="O17" s="1"/>
    </row>
    <row r="18" spans="1:15" ht="15.75" customHeight="1">
      <c r="A18" s="1"/>
      <c r="B18" s="13"/>
      <c r="C18" s="2"/>
      <c r="D18" s="2"/>
      <c r="E18" s="2"/>
      <c r="F18" s="2"/>
      <c r="G18" s="2"/>
      <c r="H18" s="2"/>
      <c r="I18" s="2"/>
      <c r="J18" s="2"/>
      <c r="K18" s="2"/>
      <c r="L18" s="2"/>
      <c r="M18" s="8"/>
      <c r="N18" s="1"/>
      <c r="O18" s="1"/>
    </row>
    <row r="19" spans="1:15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9.5" customHeight="1">
      <c r="A20" s="1"/>
      <c r="B20" s="47" t="s">
        <v>86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9"/>
      <c r="N20" s="1"/>
      <c r="O20" s="1"/>
    </row>
    <row r="21" spans="1:15" ht="21.75" customHeight="1">
      <c r="A21" s="1"/>
      <c r="B21" s="58" t="s">
        <v>85</v>
      </c>
      <c r="C21" s="44"/>
      <c r="D21" s="44"/>
      <c r="E21" s="10"/>
      <c r="F21" s="60"/>
      <c r="G21" s="61"/>
      <c r="H21" s="61"/>
      <c r="I21" s="61"/>
      <c r="J21" s="61"/>
      <c r="K21" s="61"/>
      <c r="L21" s="61"/>
      <c r="M21" s="62"/>
      <c r="N21" s="1"/>
      <c r="O21" s="1"/>
    </row>
    <row r="22" spans="1:15" ht="21.75" customHeight="1">
      <c r="A22" s="1"/>
      <c r="B22" s="58" t="s">
        <v>47</v>
      </c>
      <c r="C22" s="44"/>
      <c r="D22" s="44"/>
      <c r="E22" s="10"/>
      <c r="F22" s="73"/>
      <c r="G22" s="61"/>
      <c r="H22" s="61"/>
      <c r="I22" s="61"/>
      <c r="J22" s="61"/>
      <c r="K22" s="61"/>
      <c r="L22" s="61"/>
      <c r="M22" s="62"/>
      <c r="N22" s="1"/>
      <c r="O22" s="1"/>
    </row>
    <row r="23" spans="1:15" ht="21.75" customHeight="1">
      <c r="A23" s="1"/>
      <c r="B23" s="58" t="s">
        <v>72</v>
      </c>
      <c r="C23" s="44"/>
      <c r="D23" s="44"/>
      <c r="E23" s="10"/>
      <c r="F23" s="71"/>
      <c r="G23" s="61"/>
      <c r="H23" s="61"/>
      <c r="I23" s="61"/>
      <c r="J23" s="61"/>
      <c r="K23" s="61"/>
      <c r="L23" s="61"/>
      <c r="M23" s="62"/>
      <c r="N23" s="1"/>
      <c r="O23" s="1"/>
    </row>
    <row r="24" spans="1:15" ht="21.75" customHeight="1">
      <c r="A24" s="1"/>
      <c r="B24" s="67" t="s">
        <v>54</v>
      </c>
      <c r="C24" s="57"/>
      <c r="D24" s="57"/>
      <c r="E24" s="2"/>
      <c r="F24" s="63"/>
      <c r="G24" s="64"/>
      <c r="H24" s="64"/>
      <c r="I24" s="64"/>
      <c r="J24" s="64"/>
      <c r="K24" s="64"/>
      <c r="L24" s="64"/>
      <c r="M24" s="65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9.5" customHeight="1">
      <c r="A27" s="1"/>
      <c r="B27" s="70" t="str">
        <f>IF(OR(F21="",F22="",F23=""),"Ready to save — fill in the form above first","Ready to save")</f>
        <v>Ready to save — fill in the form above first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1"/>
      <c r="O27" s="1"/>
    </row>
    <row r="28" spans="1:15" ht="33.75" customHeight="1">
      <c r="A28" s="1"/>
      <c r="B28" s="72" t="s">
        <v>87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1"/>
      <c r="O28" s="1"/>
    </row>
    <row r="29" spans="1:15" ht="19.5" customHeight="1">
      <c r="A29" s="1"/>
      <c r="B29" s="14" t="s">
        <v>88</v>
      </c>
      <c r="C29" s="14" t="s">
        <v>60</v>
      </c>
      <c r="D29" s="14" t="s">
        <v>89</v>
      </c>
      <c r="E29" s="14" t="s">
        <v>79</v>
      </c>
      <c r="F29" s="14" t="s">
        <v>47</v>
      </c>
      <c r="G29" s="14" t="s">
        <v>73</v>
      </c>
      <c r="H29" s="14" t="s">
        <v>90</v>
      </c>
      <c r="I29" s="14" t="s">
        <v>81</v>
      </c>
      <c r="J29" s="14" t="s">
        <v>82</v>
      </c>
      <c r="K29" s="16"/>
      <c r="L29" s="16"/>
      <c r="M29" s="16"/>
      <c r="N29" s="1"/>
      <c r="O29" s="1"/>
    </row>
    <row r="30" spans="1:15" ht="19.5" customHeight="1">
      <c r="A30" s="1"/>
      <c r="B30" s="15" t="str">
        <f t="array" ref="B30">"INV-"&amp;TEXT(MAX(IFERROR(VALUE(MID(tbl_Invoices[InvoiceID],5,10)),0))+1,"0000")</f>
        <v>INV-0003</v>
      </c>
      <c r="C30" s="15" t="str">
        <f>IFERROR(INDEX(tbl_Customers[CustomerID],MATCH(F21,tbl_Customers[CustomerName],0)),"")</f>
        <v/>
      </c>
      <c r="D30" s="34">
        <f ca="1">TODAY()</f>
        <v>46307</v>
      </c>
      <c r="E30" s="34" t="str">
        <f>IF(F23="","",F23)</f>
        <v/>
      </c>
      <c r="F30" s="35" t="str">
        <f>IF(F22="","",F22)</f>
        <v/>
      </c>
      <c r="G30" s="15" t="str">
        <f ca="1">IF(F23="","",IF(F23&lt;TODAY(),"Overdue","Sent"))</f>
        <v/>
      </c>
      <c r="H30" s="15"/>
      <c r="I30" s="15"/>
      <c r="J30" s="15" t="str">
        <f>IF(F24="","",F24)</f>
        <v/>
      </c>
      <c r="K30" s="16"/>
      <c r="L30" s="16"/>
      <c r="M30" s="16"/>
      <c r="N30" s="1"/>
      <c r="O30" s="1"/>
    </row>
    <row r="31" spans="1:15" ht="31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sheetProtection password="ECAF" sheet="1" formatCells="0" formatColumns="0" formatRows="0" insertColumns="0" insertRows="0" deleteColumns="0" deleteRows="0" sort="0" autoFilter="0"/>
  <mergeCells count="58">
    <mergeCell ref="B2:D2"/>
    <mergeCell ref="B4:M4"/>
    <mergeCell ref="B7:D7"/>
    <mergeCell ref="B16:D16"/>
    <mergeCell ref="F9:G9"/>
    <mergeCell ref="K15:M15"/>
    <mergeCell ref="H10:J10"/>
    <mergeCell ref="K9:M9"/>
    <mergeCell ref="F14:G14"/>
    <mergeCell ref="B12:D12"/>
    <mergeCell ref="H9:J9"/>
    <mergeCell ref="B6:M6"/>
    <mergeCell ref="K10:M10"/>
    <mergeCell ref="H14:J14"/>
    <mergeCell ref="B20:M20"/>
    <mergeCell ref="K13:M13"/>
    <mergeCell ref="H8:J8"/>
    <mergeCell ref="K11:M11"/>
    <mergeCell ref="F13:G13"/>
    <mergeCell ref="K16:M16"/>
    <mergeCell ref="B28:M28"/>
    <mergeCell ref="F15:G15"/>
    <mergeCell ref="F21:M21"/>
    <mergeCell ref="K14:M14"/>
    <mergeCell ref="F24:M24"/>
    <mergeCell ref="K17:M17"/>
    <mergeCell ref="B15:D15"/>
    <mergeCell ref="F17:G17"/>
    <mergeCell ref="B24:D24"/>
    <mergeCell ref="H15:J15"/>
    <mergeCell ref="F23:M23"/>
    <mergeCell ref="F22:M22"/>
    <mergeCell ref="B22:D22"/>
    <mergeCell ref="B21:D21"/>
    <mergeCell ref="B27:M27"/>
    <mergeCell ref="H7:J7"/>
    <mergeCell ref="F7:G7"/>
    <mergeCell ref="B10:D10"/>
    <mergeCell ref="H16:J16"/>
    <mergeCell ref="K8:M8"/>
    <mergeCell ref="F12:G12"/>
    <mergeCell ref="H13:J13"/>
    <mergeCell ref="B9:D9"/>
    <mergeCell ref="H12:J12"/>
    <mergeCell ref="K7:M7"/>
    <mergeCell ref="F8:G8"/>
    <mergeCell ref="F10:G10"/>
    <mergeCell ref="B8:D8"/>
    <mergeCell ref="B17:D17"/>
    <mergeCell ref="B13:D13"/>
    <mergeCell ref="K12:M12"/>
    <mergeCell ref="H17:J17"/>
    <mergeCell ref="H11:J11"/>
    <mergeCell ref="B11:D11"/>
    <mergeCell ref="F11:G11"/>
    <mergeCell ref="B14:D14"/>
    <mergeCell ref="B23:D23"/>
    <mergeCell ref="F16:G16"/>
  </mergeCells>
  <conditionalFormatting sqref="K8">
    <cfRule type="expression" dxfId="21" priority="2">
      <formula>EXACT(K8,"Overdue")</formula>
    </cfRule>
  </conditionalFormatting>
  <conditionalFormatting sqref="K9">
    <cfRule type="expression" dxfId="20" priority="3">
      <formula>EXACT(K9,"Overdue")</formula>
    </cfRule>
  </conditionalFormatting>
  <conditionalFormatting sqref="K10">
    <cfRule type="expression" dxfId="19" priority="4">
      <formula>EXACT(K10,"Overdue")</formula>
    </cfRule>
  </conditionalFormatting>
  <conditionalFormatting sqref="K11">
    <cfRule type="expression" dxfId="18" priority="5">
      <formula>EXACT(K11,"Overdue")</formula>
    </cfRule>
  </conditionalFormatting>
  <conditionalFormatting sqref="K12">
    <cfRule type="expression" dxfId="17" priority="6">
      <formula>EXACT(K12,"Overdue")</formula>
    </cfRule>
  </conditionalFormatting>
  <conditionalFormatting sqref="K13">
    <cfRule type="expression" dxfId="16" priority="7">
      <formula>EXACT(K13,"Overdue")</formula>
    </cfRule>
  </conditionalFormatting>
  <conditionalFormatting sqref="K14">
    <cfRule type="expression" dxfId="15" priority="8">
      <formula>EXACT(K14,"Overdue")</formula>
    </cfRule>
  </conditionalFormatting>
  <conditionalFormatting sqref="K15">
    <cfRule type="expression" dxfId="14" priority="9">
      <formula>EXACT(K15,"Overdue")</formula>
    </cfRule>
  </conditionalFormatting>
  <conditionalFormatting sqref="K16">
    <cfRule type="expression" dxfId="13" priority="10">
      <formula>EXACT(K16,"Overdue")</formula>
    </cfRule>
  </conditionalFormatting>
  <conditionalFormatting sqref="K17">
    <cfRule type="expression" dxfId="12" priority="11">
      <formula>EXACT(K17,"Overdue")</formula>
    </cfRule>
  </conditionalFormatting>
  <conditionalFormatting sqref="F8 F9 F10 F11 F12 F13 F14 F15 F16 F17 F22 F30">
    <cfRule type="expression" dxfId="11" priority="12">
      <formula>CurrentCurrency="GBP"</formula>
    </cfRule>
    <cfRule type="expression" dxfId="10" priority="12">
      <formula>CurrentCurrency="EUR"</formula>
    </cfRule>
    <cfRule type="expression" dxfId="9" priority="13">
      <formula>CurrentCurrency="PKR"</formula>
    </cfRule>
  </conditionalFormatting>
  <dataValidations count="3">
    <dataValidation type="decimal" operator="greaterThan" allowBlank="1" sqref="F22" xr:uid="{00000000-0002-0000-0400-000000000000}">
      <formula1>0</formula1>
      <formula2>0</formula2>
    </dataValidation>
    <dataValidation type="list" errorStyle="information" allowBlank="1" sqref="F21" xr:uid="{00000000-0002-0000-0400-000001000000}">
      <formula1>CustomerNameList</formula1>
      <formula2>0</formula2>
    </dataValidation>
    <dataValidation type="date" operator="greaterThan" allowBlank="1" sqref="F23" xr:uid="{00000000-0002-0000-0400-000002000000}">
      <formula1>DATE(1999,12,31)</formula1>
      <formula2>0</formula2>
    </dataValidation>
  </dataValidations>
  <hyperlinks>
    <hyperlink ref="F2" location="Home!A1" display="Home" xr:uid="{00000000-0004-0000-0400-000000000000}"/>
    <hyperlink ref="G2" location="'Quick Add'!A1" display="Quick Add" xr:uid="{00000000-0004-0000-0400-000001000000}"/>
    <hyperlink ref="H2" location="Bills!A1" display="Bills" xr:uid="{00000000-0004-0000-0400-000002000000}"/>
    <hyperlink ref="J2" location="Clients!A1" display="Clients" xr:uid="{00000000-0004-0000-0400-000003000000}"/>
    <hyperlink ref="K2" location="Goals!A1" display="Goals" xr:uid="{00000000-0004-0000-0400-000004000000}"/>
    <hyperlink ref="L2" location="Home!B23" display="Insights" xr:uid="{00000000-0004-0000-04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showGridLines="0" showRowColHeaders="0" zoomScale="89" zoomScaleNormal="100" workbookViewId="0">
      <selection activeCell="S13" sqref="S13"/>
    </sheetView>
  </sheetViews>
  <sheetFormatPr defaultColWidth="8.7109375" defaultRowHeight="15"/>
  <cols>
    <col min="1" max="1" width="3.42578125" style="18" customWidth="1"/>
    <col min="2" max="4" width="12" style="18" customWidth="1"/>
    <col min="5" max="5" width="11" style="18" customWidth="1"/>
    <col min="6" max="8" width="12" style="18" customWidth="1"/>
    <col min="9" max="9" width="11" style="18" customWidth="1"/>
    <col min="10" max="13" width="12" style="18" customWidth="1"/>
    <col min="14" max="14" width="3.42578125" style="18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>
      <c r="A2" s="2"/>
      <c r="B2" s="56" t="str">
        <f>CurrentBusinessName</f>
        <v>Riverside Design Studio</v>
      </c>
      <c r="C2" s="57"/>
      <c r="D2" s="57"/>
      <c r="E2" s="2"/>
      <c r="F2" s="4" t="s">
        <v>0</v>
      </c>
      <c r="G2" s="4" t="s">
        <v>1</v>
      </c>
      <c r="H2" s="4" t="s">
        <v>2</v>
      </c>
      <c r="I2" s="2"/>
      <c r="J2" s="4" t="s">
        <v>3</v>
      </c>
      <c r="K2" s="3" t="s">
        <v>4</v>
      </c>
      <c r="L2" s="4" t="s">
        <v>5</v>
      </c>
      <c r="M2" s="2"/>
      <c r="N2" s="2"/>
      <c r="O2" s="1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5" customHeight="1">
      <c r="A4" s="1"/>
      <c r="B4" s="55" t="s">
        <v>4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  <c r="O4" s="1"/>
    </row>
    <row r="5" spans="1:1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9.5" customHeight="1">
      <c r="A6" s="1"/>
      <c r="B6" s="47" t="s">
        <v>91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1"/>
      <c r="O6" s="1"/>
    </row>
    <row r="7" spans="1:15" ht="18" customHeight="1">
      <c r="A7" s="1"/>
      <c r="B7" s="81" t="s">
        <v>92</v>
      </c>
      <c r="C7" s="44"/>
      <c r="D7" s="44"/>
      <c r="E7" s="10"/>
      <c r="F7" s="79" t="s">
        <v>93</v>
      </c>
      <c r="G7" s="44"/>
      <c r="H7" s="79" t="s">
        <v>94</v>
      </c>
      <c r="I7" s="44"/>
      <c r="J7" s="44"/>
      <c r="K7" s="80" t="s">
        <v>73</v>
      </c>
      <c r="L7" s="44"/>
      <c r="M7" s="52"/>
      <c r="N7" s="1"/>
      <c r="O7" s="1"/>
    </row>
    <row r="8" spans="1:15" ht="18" customHeight="1">
      <c r="A8" s="1"/>
      <c r="B8" s="75" t="str">
        <f>IFERROR(INDEX(tbl_Goals[GoalName],1),"")</f>
        <v>Emergency Fund</v>
      </c>
      <c r="C8" s="44"/>
      <c r="D8" s="44"/>
      <c r="E8" s="10"/>
      <c r="F8" s="82" t="str">
        <f>IF(B8="","",CurrencySymbol&amp;TEXT(INDEX(tbl_Goals[CurrentAmount],1),"#,##0")&amp;" of "&amp;CurrencySymbol&amp;TEXT(INDEX(tbl_Goals[TargetAmount],1),"#,##0")&amp;" ("&amp;TEXT(INDEX(tbl_Goals[CurrentAmount],1)/INDEX(tbl_Goals[TargetAmount],1),"0%")&amp;")")</f>
        <v>$5,580 of $9,000 (62%)</v>
      </c>
      <c r="G8" s="44"/>
      <c r="H8" s="78">
        <f ca="1">IFERROR(INDEX(tbl_Goals[TargetDate],1),"")</f>
        <v>46387</v>
      </c>
      <c r="I8" s="44"/>
      <c r="J8" s="44"/>
      <c r="K8" s="77" t="str">
        <f>IFERROR(INDEX(tbl_Goals[Status],1),"")</f>
        <v>Active</v>
      </c>
      <c r="L8" s="44"/>
      <c r="M8" s="52"/>
      <c r="N8" s="1"/>
      <c r="O8" s="1"/>
    </row>
    <row r="9" spans="1:15" ht="18" customHeight="1">
      <c r="A9" s="1"/>
      <c r="B9" s="75" t="str">
        <f>IFERROR(INDEX(tbl_Goals[GoalName],2),"")</f>
        <v/>
      </c>
      <c r="C9" s="44"/>
      <c r="D9" s="44"/>
      <c r="E9" s="10"/>
      <c r="F9" s="82" t="str">
        <f>IF(B9="","",CurrencySymbol&amp;TEXT(INDEX(tbl_Goals[CurrentAmount],2),"#,##0")&amp;" of "&amp;CurrencySymbol&amp;TEXT(INDEX(tbl_Goals[TargetAmount],2),"#,##0")&amp;" ("&amp;TEXT(INDEX(tbl_Goals[CurrentAmount],2)/INDEX(tbl_Goals[TargetAmount],2),"0%")&amp;")")</f>
        <v/>
      </c>
      <c r="G9" s="44"/>
      <c r="H9" s="78" t="str">
        <f>IFERROR(INDEX(tbl_Goals[TargetDate],2),"")</f>
        <v/>
      </c>
      <c r="I9" s="44"/>
      <c r="J9" s="44"/>
      <c r="K9" s="77" t="str">
        <f>IFERROR(INDEX(tbl_Goals[Status],2),"")</f>
        <v/>
      </c>
      <c r="L9" s="44"/>
      <c r="M9" s="52"/>
      <c r="N9" s="1"/>
      <c r="O9" s="1"/>
    </row>
    <row r="10" spans="1:15" ht="18" customHeight="1">
      <c r="A10" s="1"/>
      <c r="B10" s="75" t="str">
        <f>IFERROR(INDEX(tbl_Goals[GoalName],3),"")</f>
        <v/>
      </c>
      <c r="C10" s="44"/>
      <c r="D10" s="44"/>
      <c r="E10" s="10"/>
      <c r="F10" s="82" t="str">
        <f>IF(B10="","",CurrencySymbol&amp;TEXT(INDEX(tbl_Goals[CurrentAmount],3),"#,##0")&amp;" of "&amp;CurrencySymbol&amp;TEXT(INDEX(tbl_Goals[TargetAmount],3),"#,##0")&amp;" ("&amp;TEXT(INDEX(tbl_Goals[CurrentAmount],3)/INDEX(tbl_Goals[TargetAmount],3),"0%")&amp;")")</f>
        <v/>
      </c>
      <c r="G10" s="44"/>
      <c r="H10" s="78" t="str">
        <f>IFERROR(INDEX(tbl_Goals[TargetDate],3),"")</f>
        <v/>
      </c>
      <c r="I10" s="44"/>
      <c r="J10" s="44"/>
      <c r="K10" s="77" t="str">
        <f>IFERROR(INDEX(tbl_Goals[Status],3),"")</f>
        <v/>
      </c>
      <c r="L10" s="44"/>
      <c r="M10" s="52"/>
      <c r="N10" s="1"/>
      <c r="O10" s="1"/>
    </row>
    <row r="11" spans="1:15" ht="18" customHeight="1">
      <c r="A11" s="1"/>
      <c r="B11" s="75" t="str">
        <f>IFERROR(INDEX(tbl_Goals[GoalName],4),"")</f>
        <v/>
      </c>
      <c r="C11" s="44"/>
      <c r="D11" s="44"/>
      <c r="E11" s="10"/>
      <c r="F11" s="82" t="str">
        <f>IF(B11="","",CurrencySymbol&amp;TEXT(INDEX(tbl_Goals[CurrentAmount],4),"#,##0")&amp;" of "&amp;CurrencySymbol&amp;TEXT(INDEX(tbl_Goals[TargetAmount],4),"#,##0")&amp;" ("&amp;TEXT(INDEX(tbl_Goals[CurrentAmount],4)/INDEX(tbl_Goals[TargetAmount],4),"0%")&amp;")")</f>
        <v/>
      </c>
      <c r="G11" s="44"/>
      <c r="H11" s="78" t="str">
        <f>IFERROR(INDEX(tbl_Goals[TargetDate],4),"")</f>
        <v/>
      </c>
      <c r="I11" s="44"/>
      <c r="J11" s="44"/>
      <c r="K11" s="77" t="str">
        <f>IFERROR(INDEX(tbl_Goals[Status],4),"")</f>
        <v/>
      </c>
      <c r="L11" s="44"/>
      <c r="M11" s="52"/>
      <c r="N11" s="1"/>
      <c r="O11" s="1"/>
    </row>
    <row r="12" spans="1:15" ht="18" customHeight="1">
      <c r="A12" s="1"/>
      <c r="B12" s="75" t="str">
        <f>IFERROR(INDEX(tbl_Goals[GoalName],5),"")</f>
        <v/>
      </c>
      <c r="C12" s="44"/>
      <c r="D12" s="44"/>
      <c r="E12" s="10"/>
      <c r="F12" s="82" t="str">
        <f>IF(B12="","",CurrencySymbol&amp;TEXT(INDEX(tbl_Goals[CurrentAmount],5),"#,##0")&amp;" of "&amp;CurrencySymbol&amp;TEXT(INDEX(tbl_Goals[TargetAmount],5),"#,##0")&amp;" ("&amp;TEXT(INDEX(tbl_Goals[CurrentAmount],5)/INDEX(tbl_Goals[TargetAmount],5),"0%")&amp;")")</f>
        <v/>
      </c>
      <c r="G12" s="44"/>
      <c r="H12" s="78" t="str">
        <f>IFERROR(INDEX(tbl_Goals[TargetDate],5),"")</f>
        <v/>
      </c>
      <c r="I12" s="44"/>
      <c r="J12" s="44"/>
      <c r="K12" s="77" t="str">
        <f>IFERROR(INDEX(tbl_Goals[Status],5),"")</f>
        <v/>
      </c>
      <c r="L12" s="44"/>
      <c r="M12" s="52"/>
      <c r="N12" s="1"/>
      <c r="O12" s="1"/>
    </row>
    <row r="13" spans="1:15" ht="18" customHeight="1">
      <c r="A13" s="1"/>
      <c r="B13" s="75" t="str">
        <f>IFERROR(INDEX(tbl_Goals[GoalName],6),"")</f>
        <v/>
      </c>
      <c r="C13" s="44"/>
      <c r="D13" s="44"/>
      <c r="E13" s="10"/>
      <c r="F13" s="82" t="str">
        <f>IF(B13="","",CurrencySymbol&amp;TEXT(INDEX(tbl_Goals[CurrentAmount],6),"#,##0")&amp;" of "&amp;CurrencySymbol&amp;TEXT(INDEX(tbl_Goals[TargetAmount],6),"#,##0")&amp;" ("&amp;TEXT(INDEX(tbl_Goals[CurrentAmount],6)/INDEX(tbl_Goals[TargetAmount],6),"0%")&amp;")")</f>
        <v/>
      </c>
      <c r="G13" s="44"/>
      <c r="H13" s="78" t="str">
        <f>IFERROR(INDEX(tbl_Goals[TargetDate],6),"")</f>
        <v/>
      </c>
      <c r="I13" s="44"/>
      <c r="J13" s="44"/>
      <c r="K13" s="77" t="str">
        <f>IFERROR(INDEX(tbl_Goals[Status],6),"")</f>
        <v/>
      </c>
      <c r="L13" s="44"/>
      <c r="M13" s="52"/>
      <c r="N13" s="1"/>
      <c r="O13" s="1"/>
    </row>
    <row r="14" spans="1:15" ht="15.75" customHeight="1">
      <c r="A14" s="1"/>
      <c r="B14" s="13"/>
      <c r="C14" s="2"/>
      <c r="D14" s="2"/>
      <c r="E14" s="2"/>
      <c r="F14" s="2"/>
      <c r="G14" s="2"/>
      <c r="H14" s="2"/>
      <c r="I14" s="2"/>
      <c r="J14" s="2"/>
      <c r="K14" s="2"/>
      <c r="L14" s="2"/>
      <c r="M14" s="8"/>
      <c r="N14" s="1"/>
      <c r="O14" s="1"/>
    </row>
    <row r="15" spans="1:15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9.5" customHeight="1">
      <c r="A16" s="1"/>
      <c r="B16" s="47" t="s">
        <v>95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9"/>
      <c r="N16" s="1"/>
      <c r="O16" s="1"/>
    </row>
    <row r="17" spans="1:15" ht="21.75" customHeight="1">
      <c r="A17" s="1"/>
      <c r="B17" s="58" t="s">
        <v>96</v>
      </c>
      <c r="C17" s="44"/>
      <c r="D17" s="44"/>
      <c r="E17" s="10"/>
      <c r="F17" s="60"/>
      <c r="G17" s="61"/>
      <c r="H17" s="61"/>
      <c r="I17" s="61"/>
      <c r="J17" s="61"/>
      <c r="K17" s="61"/>
      <c r="L17" s="61"/>
      <c r="M17" s="62"/>
      <c r="N17" s="1"/>
      <c r="O17" s="1"/>
    </row>
    <row r="18" spans="1:15" ht="21.75" customHeight="1">
      <c r="A18" s="1"/>
      <c r="B18" s="58" t="s">
        <v>97</v>
      </c>
      <c r="C18" s="44"/>
      <c r="D18" s="44"/>
      <c r="E18" s="10"/>
      <c r="F18" s="60"/>
      <c r="G18" s="61"/>
      <c r="H18" s="61"/>
      <c r="I18" s="61"/>
      <c r="J18" s="61"/>
      <c r="K18" s="61"/>
      <c r="L18" s="61"/>
      <c r="M18" s="62"/>
      <c r="N18" s="1"/>
      <c r="O18" s="1"/>
    </row>
    <row r="19" spans="1:15" ht="21.75" customHeight="1">
      <c r="A19" s="1"/>
      <c r="B19" s="58" t="s">
        <v>98</v>
      </c>
      <c r="C19" s="44"/>
      <c r="D19" s="44"/>
      <c r="E19" s="10"/>
      <c r="F19" s="73"/>
      <c r="G19" s="61"/>
      <c r="H19" s="61"/>
      <c r="I19" s="61"/>
      <c r="J19" s="61"/>
      <c r="K19" s="61"/>
      <c r="L19" s="61"/>
      <c r="M19" s="62"/>
      <c r="N19" s="1"/>
      <c r="O19" s="1"/>
    </row>
    <row r="20" spans="1:15" ht="21.75" customHeight="1">
      <c r="A20" s="1"/>
      <c r="B20" s="67" t="s">
        <v>99</v>
      </c>
      <c r="C20" s="57"/>
      <c r="D20" s="57"/>
      <c r="E20" s="2"/>
      <c r="F20" s="83"/>
      <c r="G20" s="64"/>
      <c r="H20" s="64"/>
      <c r="I20" s="64"/>
      <c r="J20" s="64"/>
      <c r="K20" s="64"/>
      <c r="L20" s="64"/>
      <c r="M20" s="65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9.5" customHeight="1">
      <c r="A23" s="1"/>
      <c r="B23" s="70" t="str">
        <f>IF(OR(F17="",F18="",F19=""),"Ready to save — fill in the form above first","Ready to save")</f>
        <v>Ready to save — fill in the form above first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1"/>
      <c r="O23" s="1"/>
    </row>
    <row r="24" spans="1:15" ht="33.75" customHeight="1">
      <c r="A24" s="1"/>
      <c r="B24" s="72" t="s">
        <v>100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1"/>
      <c r="O24" s="1"/>
    </row>
    <row r="25" spans="1:15" ht="19.5" customHeight="1">
      <c r="A25" s="1"/>
      <c r="B25" s="14" t="s">
        <v>101</v>
      </c>
      <c r="C25" s="14" t="s">
        <v>102</v>
      </c>
      <c r="D25" s="14" t="s">
        <v>103</v>
      </c>
      <c r="E25" s="14" t="s">
        <v>104</v>
      </c>
      <c r="F25" s="14" t="s">
        <v>105</v>
      </c>
      <c r="G25" s="14" t="s">
        <v>106</v>
      </c>
      <c r="H25" s="14" t="s">
        <v>107</v>
      </c>
      <c r="I25" s="14" t="s">
        <v>73</v>
      </c>
      <c r="J25" s="14" t="s">
        <v>108</v>
      </c>
      <c r="K25" s="16"/>
      <c r="L25" s="16"/>
      <c r="M25" s="16"/>
      <c r="N25" s="1"/>
      <c r="O25" s="1"/>
    </row>
    <row r="26" spans="1:15" ht="19.5" customHeight="1">
      <c r="A26" s="1"/>
      <c r="B26" s="15" t="str">
        <f t="array" ref="B26">"GOAL-"&amp;TEXT(MAX(IFERROR(VALUE(MID(tbl_Goals[GoalID],6,10)),0))+1,"000")</f>
        <v>GOAL-002</v>
      </c>
      <c r="C26" s="15" t="str">
        <f>IF(F17="","",F17)</f>
        <v/>
      </c>
      <c r="D26" s="15" t="str">
        <f>IF(F18="","",F18)</f>
        <v/>
      </c>
      <c r="E26" s="35" t="str">
        <f>IF(F19="","",F19)</f>
        <v/>
      </c>
      <c r="F26" s="35">
        <v>0</v>
      </c>
      <c r="G26" s="34">
        <f ca="1">TODAY()</f>
        <v>46307</v>
      </c>
      <c r="H26" s="34" t="str">
        <f>IF(F20="","",F20)</f>
        <v/>
      </c>
      <c r="I26" s="15" t="s">
        <v>109</v>
      </c>
      <c r="J26" s="15" t="s">
        <v>110</v>
      </c>
      <c r="K26" s="16"/>
      <c r="L26" s="16"/>
      <c r="M26" s="16"/>
      <c r="N26" s="1"/>
      <c r="O26" s="1"/>
    </row>
    <row r="27" spans="1:15" ht="31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sheetProtection password="ECAF" sheet="1" formatCells="0" formatColumns="0" formatRows="0" insertColumns="0" insertRows="0" deleteColumns="0" deleteRows="0" sort="0" autoFilter="0"/>
  <mergeCells count="42">
    <mergeCell ref="B2:D2"/>
    <mergeCell ref="B4:M4"/>
    <mergeCell ref="F9:G9"/>
    <mergeCell ref="B16:M16"/>
    <mergeCell ref="H10:J10"/>
    <mergeCell ref="K9:M9"/>
    <mergeCell ref="H9:J9"/>
    <mergeCell ref="B12:D12"/>
    <mergeCell ref="B6:M6"/>
    <mergeCell ref="B24:M24"/>
    <mergeCell ref="F17:M17"/>
    <mergeCell ref="K10:M10"/>
    <mergeCell ref="K13:M13"/>
    <mergeCell ref="H8:J8"/>
    <mergeCell ref="K11:M11"/>
    <mergeCell ref="F13:G13"/>
    <mergeCell ref="B7:D7"/>
    <mergeCell ref="B18:D18"/>
    <mergeCell ref="H7:J7"/>
    <mergeCell ref="F7:G7"/>
    <mergeCell ref="B10:D10"/>
    <mergeCell ref="K8:M8"/>
    <mergeCell ref="B19:D19"/>
    <mergeCell ref="F12:G12"/>
    <mergeCell ref="H13:J13"/>
    <mergeCell ref="B9:D9"/>
    <mergeCell ref="H12:J12"/>
    <mergeCell ref="F18:M18"/>
    <mergeCell ref="K7:M7"/>
    <mergeCell ref="F8:G8"/>
    <mergeCell ref="B23:M23"/>
    <mergeCell ref="B17:D17"/>
    <mergeCell ref="B13:D13"/>
    <mergeCell ref="K12:M12"/>
    <mergeCell ref="H11:J11"/>
    <mergeCell ref="F20:M20"/>
    <mergeCell ref="B20:D20"/>
    <mergeCell ref="B11:D11"/>
    <mergeCell ref="F11:G11"/>
    <mergeCell ref="F10:G10"/>
    <mergeCell ref="B8:D8"/>
    <mergeCell ref="F19:M19"/>
  </mergeCells>
  <conditionalFormatting sqref="K8">
    <cfRule type="expression" dxfId="8" priority="2">
      <formula>EXACT(K8,"Achieved")</formula>
    </cfRule>
  </conditionalFormatting>
  <conditionalFormatting sqref="K9">
    <cfRule type="expression" dxfId="7" priority="3">
      <formula>EXACT(K9,"Achieved")</formula>
    </cfRule>
  </conditionalFormatting>
  <conditionalFormatting sqref="K10">
    <cfRule type="expression" dxfId="6" priority="4">
      <formula>EXACT(K10,"Achieved")</formula>
    </cfRule>
  </conditionalFormatting>
  <conditionalFormatting sqref="K11">
    <cfRule type="expression" dxfId="5" priority="5">
      <formula>EXACT(K11,"Achieved")</formula>
    </cfRule>
  </conditionalFormatting>
  <conditionalFormatting sqref="K12">
    <cfRule type="expression" dxfId="4" priority="6">
      <formula>EXACT(K12,"Achieved")</formula>
    </cfRule>
  </conditionalFormatting>
  <conditionalFormatting sqref="K13">
    <cfRule type="expression" dxfId="3" priority="7">
      <formula>EXACT(K13,"Achieved")</formula>
    </cfRule>
  </conditionalFormatting>
  <conditionalFormatting sqref="E26 F19 F26">
    <cfRule type="expression" dxfId="2" priority="8">
      <formula>CurrentCurrency="GBP"</formula>
    </cfRule>
    <cfRule type="expression" dxfId="1" priority="8">
      <formula>CurrentCurrency="EUR"</formula>
    </cfRule>
    <cfRule type="expression" dxfId="0" priority="9">
      <formula>CurrentCurrency="PKR"</formula>
    </cfRule>
  </conditionalFormatting>
  <dataValidations count="3">
    <dataValidation type="decimal" operator="greaterThan" allowBlank="1" sqref="F19" xr:uid="{00000000-0002-0000-0500-000000000000}">
      <formula1>0</formula1>
      <formula2>0</formula2>
    </dataValidation>
    <dataValidation type="list" allowBlank="1" sqref="F18" xr:uid="{00000000-0002-0000-0500-000001000000}">
      <formula1>rngGoalTypes</formula1>
      <formula2>0</formula2>
    </dataValidation>
    <dataValidation type="date" operator="greaterThan" allowBlank="1" sqref="F20" xr:uid="{00000000-0002-0000-0500-000002000000}">
      <formula1>DATE(1999,12,31)</formula1>
      <formula2>0</formula2>
    </dataValidation>
  </dataValidations>
  <hyperlinks>
    <hyperlink ref="F2" location="Home!A1" display="Home" xr:uid="{00000000-0004-0000-0500-000000000000}"/>
    <hyperlink ref="G2" location="'Quick Add'!A1" display="Quick Add" xr:uid="{00000000-0004-0000-0500-000001000000}"/>
    <hyperlink ref="H2" location="Bills!A1" display="Bills" xr:uid="{00000000-0004-0000-0500-000002000000}"/>
    <hyperlink ref="J2" location="Clients!A1" display="Clients" xr:uid="{00000000-0004-0000-0500-000003000000}"/>
    <hyperlink ref="K2" location="Goals!A1" display="Goals" xr:uid="{00000000-0004-0000-0500-000004000000}"/>
    <hyperlink ref="L2" location="Home!B23" display="Insights" xr:uid="{00000000-0004-0000-05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showRowColHeaders="0" zoomScaleNormal="100" workbookViewId="0"/>
  </sheetViews>
  <sheetFormatPr defaultColWidth="8.7109375" defaultRowHeight="15"/>
  <cols>
    <col min="1" max="14" width="20" style="18" customWidth="1"/>
  </cols>
  <sheetData>
    <row r="1" spans="1:14" ht="15" customHeight="1">
      <c r="A1" s="17" t="s">
        <v>57</v>
      </c>
      <c r="B1" s="17" t="s">
        <v>44</v>
      </c>
      <c r="C1" s="17" t="s">
        <v>58</v>
      </c>
      <c r="D1" s="17" t="s">
        <v>47</v>
      </c>
      <c r="E1" s="17" t="s">
        <v>59</v>
      </c>
      <c r="F1" s="17" t="s">
        <v>52</v>
      </c>
      <c r="G1" s="17" t="s">
        <v>60</v>
      </c>
      <c r="H1" s="17" t="s">
        <v>61</v>
      </c>
      <c r="I1" s="17" t="s">
        <v>62</v>
      </c>
      <c r="J1" s="17" t="s">
        <v>63</v>
      </c>
      <c r="K1" s="17" t="s">
        <v>64</v>
      </c>
      <c r="L1" s="17" t="s">
        <v>65</v>
      </c>
      <c r="M1" s="17" t="s">
        <v>66</v>
      </c>
      <c r="N1" s="17" t="s">
        <v>67</v>
      </c>
    </row>
    <row r="2" spans="1:14" ht="15" customHeight="1">
      <c r="A2" t="s">
        <v>111</v>
      </c>
      <c r="B2" s="37">
        <f ca="1">MAX(DATE(YEAR(TODAY()),MONTH(TODAY()),1),TODAY()-1)</f>
        <v>46306</v>
      </c>
      <c r="C2" t="s">
        <v>112</v>
      </c>
      <c r="D2">
        <v>45</v>
      </c>
      <c r="E2" t="s">
        <v>113</v>
      </c>
      <c r="F2" t="s">
        <v>114</v>
      </c>
      <c r="H2" t="s">
        <v>115</v>
      </c>
      <c r="K2" t="b">
        <f>FALSE()</f>
        <v>0</v>
      </c>
      <c r="M2" t="s">
        <v>116</v>
      </c>
      <c r="N2" t="s">
        <v>117</v>
      </c>
    </row>
    <row r="3" spans="1:14" ht="15" customHeight="1">
      <c r="A3" t="s">
        <v>118</v>
      </c>
      <c r="B3" s="37">
        <f ca="1">MAX(DATE(YEAR(TODAY()),MONTH(TODAY()),1),TODAY()-3)</f>
        <v>46304</v>
      </c>
      <c r="C3" t="s">
        <v>46</v>
      </c>
      <c r="D3">
        <v>850</v>
      </c>
      <c r="E3" t="s">
        <v>119</v>
      </c>
      <c r="F3" t="s">
        <v>53</v>
      </c>
      <c r="G3" t="s">
        <v>120</v>
      </c>
      <c r="K3" t="b">
        <f>FALSE()</f>
        <v>0</v>
      </c>
      <c r="M3" t="s">
        <v>116</v>
      </c>
      <c r="N3" t="s">
        <v>117</v>
      </c>
    </row>
    <row r="4" spans="1:14">
      <c r="A4" t="s">
        <v>121</v>
      </c>
      <c r="B4" s="37">
        <f ca="1">MAX(DATE(YEAR(TODAY()),MONTH(TODAY()),1),TODAY()-2)</f>
        <v>46305</v>
      </c>
      <c r="C4" t="s">
        <v>112</v>
      </c>
      <c r="D4">
        <v>120</v>
      </c>
      <c r="E4" t="s">
        <v>113</v>
      </c>
      <c r="F4" t="s">
        <v>122</v>
      </c>
      <c r="H4" t="s">
        <v>115</v>
      </c>
      <c r="K4" t="b">
        <f>FALSE()</f>
        <v>0</v>
      </c>
      <c r="M4" t="s">
        <v>116</v>
      </c>
      <c r="N4" t="s">
        <v>117</v>
      </c>
    </row>
  </sheetData>
  <sheetProtection sheet="1"/>
  <dataValidations count="2">
    <dataValidation type="list" sqref="C2:C3" xr:uid="{00000000-0002-0000-0600-000000000000}">
      <formula1>rngTransactionDirection</formula1>
      <formula2>0</formula2>
    </dataValidation>
    <dataValidation type="list" sqref="K2:K3" xr:uid="{00000000-0002-0000-0600-000001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showRowColHeaders="0" zoomScaleNormal="100" workbookViewId="0"/>
  </sheetViews>
  <sheetFormatPr defaultColWidth="8.7109375" defaultRowHeight="15"/>
  <cols>
    <col min="1" max="6" width="20" style="18" customWidth="1"/>
  </cols>
  <sheetData>
    <row r="1" spans="1:6" ht="15" customHeight="1">
      <c r="A1" s="17" t="s">
        <v>59</v>
      </c>
      <c r="B1" s="17" t="s">
        <v>123</v>
      </c>
      <c r="C1" s="17" t="s">
        <v>58</v>
      </c>
      <c r="D1" s="17" t="s">
        <v>124</v>
      </c>
      <c r="E1" s="17" t="s">
        <v>125</v>
      </c>
      <c r="F1" s="17" t="s">
        <v>108</v>
      </c>
    </row>
    <row r="2" spans="1:6" ht="15" customHeight="1">
      <c r="A2" t="s">
        <v>119</v>
      </c>
      <c r="B2" t="s">
        <v>126</v>
      </c>
      <c r="C2" t="s">
        <v>46</v>
      </c>
      <c r="D2" t="b">
        <f>TRUE()</f>
        <v>1</v>
      </c>
      <c r="E2" t="b">
        <f>FALSE()</f>
        <v>0</v>
      </c>
      <c r="F2" t="s">
        <v>127</v>
      </c>
    </row>
    <row r="3" spans="1:6" ht="15" customHeight="1">
      <c r="A3" t="s">
        <v>128</v>
      </c>
      <c r="B3" t="s">
        <v>129</v>
      </c>
      <c r="C3" t="s">
        <v>46</v>
      </c>
      <c r="D3" t="b">
        <f>TRUE()</f>
        <v>1</v>
      </c>
      <c r="E3" t="b">
        <f>FALSE()</f>
        <v>0</v>
      </c>
      <c r="F3" t="s">
        <v>130</v>
      </c>
    </row>
    <row r="4" spans="1:6" ht="15" customHeight="1">
      <c r="A4" t="s">
        <v>131</v>
      </c>
      <c r="B4" t="s">
        <v>49</v>
      </c>
      <c r="C4" t="s">
        <v>46</v>
      </c>
      <c r="D4" t="b">
        <f>TRUE()</f>
        <v>1</v>
      </c>
      <c r="E4" t="b">
        <f>FALSE()</f>
        <v>0</v>
      </c>
      <c r="F4" t="s">
        <v>132</v>
      </c>
    </row>
    <row r="5" spans="1:6" ht="15" customHeight="1">
      <c r="A5" t="s">
        <v>133</v>
      </c>
      <c r="B5" t="s">
        <v>134</v>
      </c>
      <c r="C5" t="s">
        <v>112</v>
      </c>
      <c r="D5" t="b">
        <f>TRUE()</f>
        <v>1</v>
      </c>
      <c r="E5" t="b">
        <f>FALSE()</f>
        <v>0</v>
      </c>
      <c r="F5" t="s">
        <v>135</v>
      </c>
    </row>
    <row r="6" spans="1:6" ht="15" customHeight="1">
      <c r="A6" t="s">
        <v>136</v>
      </c>
      <c r="B6" t="s">
        <v>137</v>
      </c>
      <c r="C6" t="s">
        <v>112</v>
      </c>
      <c r="D6" t="b">
        <f>TRUE()</f>
        <v>1</v>
      </c>
      <c r="E6" t="b">
        <f>FALSE()</f>
        <v>0</v>
      </c>
      <c r="F6" t="s">
        <v>138</v>
      </c>
    </row>
    <row r="7" spans="1:6" ht="15" customHeight="1">
      <c r="A7" t="s">
        <v>139</v>
      </c>
      <c r="B7" t="s">
        <v>140</v>
      </c>
      <c r="C7" t="s">
        <v>112</v>
      </c>
      <c r="D7" t="b">
        <f>TRUE()</f>
        <v>1</v>
      </c>
      <c r="E7" t="b">
        <f>FALSE()</f>
        <v>0</v>
      </c>
      <c r="F7" t="s">
        <v>141</v>
      </c>
    </row>
    <row r="8" spans="1:6" ht="15" customHeight="1">
      <c r="A8" t="s">
        <v>113</v>
      </c>
      <c r="B8" t="s">
        <v>142</v>
      </c>
      <c r="C8" t="s">
        <v>112</v>
      </c>
      <c r="D8" t="b">
        <f>TRUE()</f>
        <v>1</v>
      </c>
      <c r="E8" t="b">
        <f>FALSE()</f>
        <v>0</v>
      </c>
      <c r="F8" t="s">
        <v>143</v>
      </c>
    </row>
    <row r="9" spans="1:6" ht="15" customHeight="1">
      <c r="A9" t="s">
        <v>144</v>
      </c>
      <c r="B9" t="s">
        <v>145</v>
      </c>
      <c r="C9" t="s">
        <v>112</v>
      </c>
      <c r="D9" t="b">
        <f>TRUE()</f>
        <v>1</v>
      </c>
      <c r="E9" t="b">
        <f>FALSE()</f>
        <v>0</v>
      </c>
      <c r="F9" t="s">
        <v>146</v>
      </c>
    </row>
    <row r="10" spans="1:6" ht="15" customHeight="1">
      <c r="A10" t="s">
        <v>147</v>
      </c>
      <c r="B10" t="s">
        <v>148</v>
      </c>
      <c r="C10" t="s">
        <v>112</v>
      </c>
      <c r="D10" t="b">
        <f>TRUE()</f>
        <v>1</v>
      </c>
      <c r="E10" t="b">
        <f>FALSE()</f>
        <v>0</v>
      </c>
      <c r="F10" t="s">
        <v>149</v>
      </c>
    </row>
    <row r="11" spans="1:6" ht="15" customHeight="1">
      <c r="A11" t="s">
        <v>150</v>
      </c>
      <c r="B11" t="s">
        <v>151</v>
      </c>
      <c r="C11" t="s">
        <v>112</v>
      </c>
      <c r="D11" t="b">
        <f>TRUE()</f>
        <v>1</v>
      </c>
      <c r="E11" t="b">
        <f>FALSE()</f>
        <v>0</v>
      </c>
      <c r="F11" t="s">
        <v>152</v>
      </c>
    </row>
    <row r="12" spans="1:6" ht="15" customHeight="1">
      <c r="A12" t="s">
        <v>153</v>
      </c>
      <c r="B12" t="s">
        <v>154</v>
      </c>
      <c r="C12" t="s">
        <v>112</v>
      </c>
      <c r="D12" t="b">
        <f>TRUE()</f>
        <v>1</v>
      </c>
      <c r="E12" t="b">
        <f>FALSE()</f>
        <v>0</v>
      </c>
      <c r="F12" t="s">
        <v>155</v>
      </c>
    </row>
    <row r="13" spans="1:6" ht="15" customHeight="1">
      <c r="A13" t="s">
        <v>156</v>
      </c>
      <c r="B13" t="s">
        <v>157</v>
      </c>
      <c r="C13" t="s">
        <v>112</v>
      </c>
      <c r="D13" t="b">
        <f>TRUE()</f>
        <v>1</v>
      </c>
      <c r="E13" t="b">
        <f>FALSE()</f>
        <v>0</v>
      </c>
      <c r="F13" t="s">
        <v>158</v>
      </c>
    </row>
  </sheetData>
  <sheetProtection sheet="1"/>
  <dataValidations count="2">
    <dataValidation type="list" sqref="C2:C13" xr:uid="{00000000-0002-0000-0700-000000000000}">
      <formula1>rngCategoryDirection</formula1>
      <formula2>0</formula2>
    </dataValidation>
    <dataValidation type="list" sqref="D2:E13" xr:uid="{00000000-0002-0000-0700-000001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showRowColHeaders="0" zoomScaleNormal="100" workbookViewId="0"/>
  </sheetViews>
  <sheetFormatPr defaultColWidth="8.7109375" defaultRowHeight="15"/>
  <cols>
    <col min="1" max="7" width="20" style="18" customWidth="1"/>
  </cols>
  <sheetData>
    <row r="1" spans="1:7" ht="15" customHeight="1">
      <c r="A1" s="17" t="s">
        <v>61</v>
      </c>
      <c r="B1" s="17" t="s">
        <v>159</v>
      </c>
      <c r="C1" s="17" t="s">
        <v>160</v>
      </c>
      <c r="D1" s="17" t="s">
        <v>161</v>
      </c>
      <c r="E1" s="17" t="s">
        <v>162</v>
      </c>
      <c r="F1" s="17" t="s">
        <v>82</v>
      </c>
      <c r="G1" s="17" t="s">
        <v>125</v>
      </c>
    </row>
    <row r="2" spans="1:7" ht="15" customHeight="1">
      <c r="A2" t="s">
        <v>115</v>
      </c>
      <c r="B2" t="s">
        <v>163</v>
      </c>
      <c r="C2" t="s">
        <v>164</v>
      </c>
      <c r="D2" t="s">
        <v>165</v>
      </c>
      <c r="E2" t="s">
        <v>113</v>
      </c>
      <c r="G2" t="b">
        <f>FALSE()</f>
        <v>0</v>
      </c>
    </row>
  </sheetData>
  <sheetProtection sheet="1"/>
  <dataValidations count="1">
    <dataValidation type="list" sqref="G2:G3" xr:uid="{00000000-0002-0000-0800-000000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78</v>
      </c>
      <c r="B1" s="17" t="s">
        <v>61</v>
      </c>
      <c r="C1" s="17" t="s">
        <v>47</v>
      </c>
      <c r="D1" s="17" t="s">
        <v>79</v>
      </c>
      <c r="E1" s="17" t="s">
        <v>64</v>
      </c>
      <c r="F1" s="17" t="s">
        <v>80</v>
      </c>
      <c r="G1" s="17" t="s">
        <v>73</v>
      </c>
      <c r="H1" s="17" t="s">
        <v>81</v>
      </c>
      <c r="I1" s="17" t="s">
        <v>82</v>
      </c>
    </row>
    <row r="2" spans="1:9" ht="15" customHeight="1">
      <c r="A2" t="s">
        <v>166</v>
      </c>
      <c r="B2" t="s">
        <v>115</v>
      </c>
      <c r="C2">
        <v>89</v>
      </c>
      <c r="D2" s="37">
        <f ca="1">TODAY()+11</f>
        <v>46318</v>
      </c>
      <c r="E2" t="b">
        <f>TRUE()</f>
        <v>1</v>
      </c>
      <c r="F2" t="s">
        <v>167</v>
      </c>
      <c r="G2" t="s">
        <v>168</v>
      </c>
      <c r="I2" t="s">
        <v>169</v>
      </c>
    </row>
    <row r="3" spans="1:9" ht="15" customHeight="1">
      <c r="A3" t="s">
        <v>170</v>
      </c>
      <c r="B3" t="s">
        <v>115</v>
      </c>
      <c r="C3">
        <v>150</v>
      </c>
      <c r="D3" s="37">
        <f ca="1">TODAY()-6</f>
        <v>46301</v>
      </c>
      <c r="E3" t="b">
        <f>FALSE()</f>
        <v>0</v>
      </c>
      <c r="F3" t="s">
        <v>171</v>
      </c>
      <c r="G3" t="s">
        <v>172</v>
      </c>
      <c r="I3" t="s">
        <v>173</v>
      </c>
    </row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3">
    <dataValidation type="list" sqref="G2:G50" xr:uid="{00000000-0002-0000-0900-000000000000}">
      <formula1>rngBillStatuses</formula1>
      <formula2>0</formula2>
    </dataValidation>
    <dataValidation type="list" sqref="F2:F50" xr:uid="{00000000-0002-0000-0900-000001000000}">
      <formula1>rngRecurrenceFrequencies</formula1>
      <formula2>0</formula2>
    </dataValidation>
    <dataValidation type="list" sqref="E2:E50" xr:uid="{00000000-0002-0000-0900-000002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showRowColHeaders="0" zoomScaleNormal="100" workbookViewId="0"/>
  </sheetViews>
  <sheetFormatPr defaultColWidth="8.7109375" defaultRowHeight="15"/>
  <cols>
    <col min="1" max="6" width="20" style="18" customWidth="1"/>
  </cols>
  <sheetData>
    <row r="1" spans="1:6" ht="15" customHeight="1">
      <c r="A1" s="17" t="s">
        <v>60</v>
      </c>
      <c r="B1" s="17" t="s">
        <v>174</v>
      </c>
      <c r="C1" s="17" t="s">
        <v>160</v>
      </c>
      <c r="D1" s="17" t="s">
        <v>161</v>
      </c>
      <c r="E1" s="17" t="s">
        <v>82</v>
      </c>
      <c r="F1" s="17" t="s">
        <v>125</v>
      </c>
    </row>
    <row r="2" spans="1:6" ht="15" customHeight="1">
      <c r="A2" t="s">
        <v>120</v>
      </c>
      <c r="B2" t="s">
        <v>51</v>
      </c>
      <c r="C2" t="s">
        <v>175</v>
      </c>
      <c r="F2" t="b">
        <f>FALSE()</f>
        <v>0</v>
      </c>
    </row>
  </sheetData>
  <sheetProtection sheet="1"/>
  <dataValidations count="1">
    <dataValidation type="list" sqref="F2:F50" xr:uid="{00000000-0002-0000-0A00-000000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88</v>
      </c>
      <c r="B1" s="17" t="s">
        <v>60</v>
      </c>
      <c r="C1" s="17" t="s">
        <v>89</v>
      </c>
      <c r="D1" s="17" t="s">
        <v>79</v>
      </c>
      <c r="E1" s="17" t="s">
        <v>47</v>
      </c>
      <c r="F1" s="17" t="s">
        <v>73</v>
      </c>
      <c r="G1" s="17" t="s">
        <v>90</v>
      </c>
      <c r="H1" s="17" t="s">
        <v>81</v>
      </c>
      <c r="I1" s="17" t="s">
        <v>82</v>
      </c>
    </row>
    <row r="2" spans="1:9" ht="15" customHeight="1">
      <c r="A2" t="s">
        <v>176</v>
      </c>
      <c r="B2" t="s">
        <v>120</v>
      </c>
      <c r="C2" s="37">
        <f ca="1">TODAY()-30</f>
        <v>46277</v>
      </c>
      <c r="D2" s="37">
        <f ca="1">TODAY()-16</f>
        <v>46291</v>
      </c>
      <c r="E2">
        <v>1200</v>
      </c>
      <c r="F2" t="s">
        <v>172</v>
      </c>
      <c r="I2" t="s">
        <v>177</v>
      </c>
    </row>
    <row r="3" spans="1:9" ht="15" customHeight="1">
      <c r="A3" t="s">
        <v>178</v>
      </c>
      <c r="B3" t="s">
        <v>120</v>
      </c>
      <c r="C3" s="37">
        <f ca="1">TODAY()-4</f>
        <v>46303</v>
      </c>
      <c r="D3" s="37">
        <f ca="1">TODAY()+10</f>
        <v>46317</v>
      </c>
      <c r="E3">
        <v>500</v>
      </c>
      <c r="F3" t="s">
        <v>179</v>
      </c>
      <c r="I3" t="s">
        <v>180</v>
      </c>
    </row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1">
    <dataValidation type="list" sqref="F2:F50" xr:uid="{00000000-0002-0000-0B00-000000000000}">
      <formula1>rngInvoiceStatuses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0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101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  <c r="G1" s="17" t="s">
        <v>107</v>
      </c>
      <c r="H1" s="17" t="s">
        <v>73</v>
      </c>
      <c r="I1" s="17" t="s">
        <v>108</v>
      </c>
    </row>
    <row r="2" spans="1:9" ht="15" customHeight="1">
      <c r="A2" t="s">
        <v>181</v>
      </c>
      <c r="B2" t="s">
        <v>182</v>
      </c>
      <c r="C2" t="s">
        <v>183</v>
      </c>
      <c r="D2">
        <v>9000</v>
      </c>
      <c r="E2">
        <v>5580</v>
      </c>
      <c r="F2" s="37">
        <f ca="1">DATE(YEAR(TODAY()),1,1)</f>
        <v>46023</v>
      </c>
      <c r="G2" s="37">
        <f ca="1">DATE(YEAR(TODAY()),12,31)</f>
        <v>46387</v>
      </c>
      <c r="H2" t="s">
        <v>109</v>
      </c>
      <c r="I2" t="s">
        <v>152</v>
      </c>
    </row>
    <row r="3" spans="1:9" ht="15" customHeight="1"/>
    <row r="4" spans="1:9" ht="15" customHeight="1"/>
    <row r="5" spans="1:9" ht="15" customHeight="1"/>
    <row r="6" spans="1:9" ht="15" customHeight="1"/>
    <row r="7" spans="1:9" ht="15" customHeight="1"/>
    <row r="8" spans="1:9" ht="15" customHeight="1"/>
    <row r="9" spans="1:9" ht="15" customHeight="1"/>
    <row r="10" spans="1:9" ht="15" customHeight="1"/>
    <row r="11" spans="1:9" ht="15" customHeight="1"/>
    <row r="12" spans="1:9" ht="15" customHeight="1"/>
    <row r="13" spans="1:9" ht="15" customHeight="1"/>
    <row r="14" spans="1:9" ht="15" customHeight="1"/>
    <row r="15" spans="1:9" ht="15" customHeight="1"/>
    <row r="16" spans="1: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sheetProtection sheet="1"/>
  <dataValidations count="2">
    <dataValidation type="list" sqref="C2:C50" xr:uid="{00000000-0002-0000-0C00-000000000000}">
      <formula1>rngGoalTypes</formula1>
      <formula2>0</formula2>
    </dataValidation>
    <dataValidation type="list" sqref="H2:H50" xr:uid="{00000000-0002-0000-0C00-000001000000}">
      <formula1>rngGoalStatuses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showRowColHeaders="0" zoomScaleNormal="100" workbookViewId="0"/>
  </sheetViews>
  <sheetFormatPr defaultColWidth="8.7109375" defaultRowHeight="15"/>
  <cols>
    <col min="1" max="9" width="20" style="18" customWidth="1"/>
  </cols>
  <sheetData>
    <row r="1" spans="1:9" ht="15" customHeight="1">
      <c r="A1" s="17" t="s">
        <v>184</v>
      </c>
      <c r="B1" s="17" t="s">
        <v>185</v>
      </c>
      <c r="C1" s="17" t="s">
        <v>186</v>
      </c>
      <c r="D1" s="17" t="s">
        <v>18</v>
      </c>
      <c r="E1" s="17" t="s">
        <v>187</v>
      </c>
      <c r="F1" s="17" t="s">
        <v>188</v>
      </c>
      <c r="G1" s="17" t="s">
        <v>189</v>
      </c>
      <c r="H1" s="17" t="s">
        <v>190</v>
      </c>
      <c r="I1" s="17" t="s">
        <v>191</v>
      </c>
    </row>
    <row r="2" spans="1:9" ht="15" customHeight="1">
      <c r="A2" t="str">
        <f>Settings!F7</f>
        <v>Riverside Design Studio</v>
      </c>
      <c r="B2" t="str">
        <f>Settings!F9</f>
        <v>Freelance</v>
      </c>
      <c r="C2" t="str">
        <f>Settings!F11</f>
        <v>January</v>
      </c>
      <c r="D2" t="str">
        <f>Settings!F10</f>
        <v>USD</v>
      </c>
      <c r="E2">
        <v>2500</v>
      </c>
      <c r="F2" s="37">
        <v>46025</v>
      </c>
      <c r="G2" t="str">
        <f>Settings!F18</f>
        <v>No logo uploaded</v>
      </c>
      <c r="H2">
        <f>Settings!F8</f>
        <v>0</v>
      </c>
      <c r="I2" t="str">
        <f>Settings!F12</f>
        <v>America/New_York</v>
      </c>
    </row>
  </sheetData>
  <sheetProtection sheet="1"/>
  <dataValidations count="3">
    <dataValidation type="list" sqref="B2" xr:uid="{00000000-0002-0000-0D00-000000000000}">
      <formula1>rngindustries</formula1>
      <formula2>0</formula2>
    </dataValidation>
    <dataValidation type="list" sqref="C2" xr:uid="{00000000-0002-0000-0D00-000001000000}">
      <formula1>rngMonths</formula1>
      <formula2>0</formula2>
    </dataValidation>
    <dataValidation type="list" sqref="D2" xr:uid="{00000000-0002-0000-0D00-000002000000}">
      <formula1>rngCurrencies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"/>
  <sheetViews>
    <sheetView showRowColHeaders="0" zoomScaleNormal="100" workbookViewId="0"/>
  </sheetViews>
  <sheetFormatPr defaultColWidth="8.7109375" defaultRowHeight="15"/>
  <cols>
    <col min="1" max="12" width="20" style="18" customWidth="1"/>
  </cols>
  <sheetData>
    <row r="1" spans="1:12" ht="15" customHeight="1">
      <c r="A1" s="17" t="s">
        <v>192</v>
      </c>
      <c r="B1" s="17" t="s">
        <v>193</v>
      </c>
      <c r="C1" s="17" t="s">
        <v>194</v>
      </c>
      <c r="D1" s="17" t="s">
        <v>195</v>
      </c>
      <c r="E1" s="17" t="s">
        <v>196</v>
      </c>
      <c r="F1" s="17" t="s">
        <v>197</v>
      </c>
      <c r="G1" s="17" t="s">
        <v>198</v>
      </c>
      <c r="H1" s="17" t="s">
        <v>199</v>
      </c>
      <c r="I1" s="17" t="s">
        <v>25</v>
      </c>
      <c r="J1" s="17" t="s">
        <v>200</v>
      </c>
      <c r="K1" s="17" t="s">
        <v>201</v>
      </c>
      <c r="L1" s="17" t="s">
        <v>42</v>
      </c>
    </row>
    <row r="2" spans="1:12" ht="15" customHeight="1">
      <c r="A2" t="str">
        <f>Settings!F22</f>
        <v>MM/DD/YYYY</v>
      </c>
      <c r="B2" t="str">
        <f>Settings!F23</f>
        <v>Sunday</v>
      </c>
      <c r="C2" t="b">
        <f>TRUE()</f>
        <v>1</v>
      </c>
      <c r="D2" t="b">
        <f>TRUE()</f>
        <v>1</v>
      </c>
      <c r="E2">
        <v>14</v>
      </c>
      <c r="F2" s="37">
        <v>46216</v>
      </c>
      <c r="G2" t="s">
        <v>202</v>
      </c>
      <c r="H2" t="str">
        <f>Settings!F24</f>
        <v>US format</v>
      </c>
      <c r="I2" t="str">
        <f>Settings!F16</f>
        <v>Light</v>
      </c>
      <c r="J2" t="s">
        <v>203</v>
      </c>
      <c r="K2" s="37">
        <v>46307</v>
      </c>
      <c r="L2" t="s">
        <v>204</v>
      </c>
    </row>
  </sheetData>
  <sheetProtection sheet="1"/>
  <dataValidations count="3">
    <dataValidation type="list" sqref="A2" xr:uid="{00000000-0002-0000-0E00-000000000000}">
      <formula1>rngDateFormats</formula1>
      <formula2>0</formula2>
    </dataValidation>
    <dataValidation type="list" sqref="B2" xr:uid="{00000000-0002-0000-0E00-000001000000}">
      <formula1>rngWeekStart</formula1>
      <formula2>0</formula2>
    </dataValidation>
    <dataValidation type="list" sqref="C2:D2" xr:uid="{00000000-0002-0000-0E00-000002000000}">
      <formula1>rngBooleanChoice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8"/>
  <sheetViews>
    <sheetView showRowColHeaders="0" zoomScaleNormal="100" workbookViewId="0"/>
  </sheetViews>
  <sheetFormatPr defaultColWidth="8.7109375" defaultRowHeight="15"/>
  <cols>
    <col min="1" max="1" width="28" style="18" customWidth="1"/>
    <col min="2" max="2" width="20" style="18" customWidth="1"/>
  </cols>
  <sheetData>
    <row r="2" spans="1:2" ht="15" customHeight="1">
      <c r="A2" s="17" t="s">
        <v>205</v>
      </c>
      <c r="B2" s="37">
        <f ca="1">DATE(YEAR(TODAY()),MONTH(TODAY()),1)</f>
        <v>46296</v>
      </c>
    </row>
    <row r="3" spans="1:2" ht="15" customHeight="1">
      <c r="A3" s="17" t="s">
        <v>206</v>
      </c>
      <c r="B3" s="37">
        <f ca="1">EDATE(B2,-1)</f>
        <v>46266</v>
      </c>
    </row>
    <row r="4" spans="1:2" ht="15" customHeight="1">
      <c r="A4" s="17" t="s">
        <v>207</v>
      </c>
      <c r="B4" s="38">
        <f ca="1">SUMIFS(tbl_Transactions[Amount],tbl_Transactions[Direction],"In",tbl_Transactions[Date],"&gt;="&amp;B2,tbl_Transactions[Date],"&lt;"&amp;EDATE(B2,1))</f>
        <v>850</v>
      </c>
    </row>
    <row r="5" spans="1:2" ht="15" customHeight="1">
      <c r="A5" s="17" t="s">
        <v>208</v>
      </c>
      <c r="B5" s="38">
        <f ca="1">SUMIFS(tbl_Transactions[Amount],tbl_Transactions[Direction],"Out",tbl_Transactions[Date],"&gt;="&amp;B2,tbl_Transactions[Date],"&lt;"&amp;EDATE(B2,1))</f>
        <v>165</v>
      </c>
    </row>
    <row r="6" spans="1:2" ht="15" customHeight="1">
      <c r="A6" s="17" t="s">
        <v>209</v>
      </c>
      <c r="B6" s="38">
        <f ca="1">B4-B5</f>
        <v>685</v>
      </c>
    </row>
    <row r="7" spans="1:2" ht="15" customHeight="1">
      <c r="A7" s="17" t="s">
        <v>210</v>
      </c>
      <c r="B7" s="19">
        <f ca="1">COUNTIFS(tbl_Transactions[Date],"&gt;="&amp;B2,tbl_Transactions[Date],"&lt;"&amp;EDATE(B2,1))</f>
        <v>3</v>
      </c>
    </row>
    <row r="8" spans="1:2" ht="15" customHeight="1">
      <c r="A8" s="17" t="s">
        <v>211</v>
      </c>
      <c r="B8" s="38">
        <f ca="1">IFERROR(AVERAGEIFS(tbl_Transactions[Amount],tbl_Transactions[Date],"&gt;="&amp;B2,tbl_Transactions[Date],"&lt;"&amp;EDATE(B2,1)),0)</f>
        <v>338.33333333333331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45"/>
  <sheetViews>
    <sheetView showRowColHeaders="0" zoomScaleNormal="100" workbookViewId="0"/>
  </sheetViews>
  <sheetFormatPr defaultColWidth="8.7109375" defaultRowHeight="15"/>
  <cols>
    <col min="1" max="1" width="34" style="18" customWidth="1"/>
    <col min="2" max="2" width="22" style="18" customWidth="1"/>
    <col min="3" max="3" width="3" style="18" customWidth="1"/>
    <col min="4" max="4" width="16" style="18" customWidth="1"/>
    <col min="5" max="5" width="8" style="18" customWidth="1"/>
    <col min="6" max="6" width="16" style="18" customWidth="1"/>
    <col min="7" max="7" width="42" style="18" customWidth="1"/>
    <col min="8" max="8" width="12" style="18" customWidth="1"/>
    <col min="9" max="9" width="16" style="18" customWidth="1"/>
  </cols>
  <sheetData>
    <row r="2" spans="1:2" ht="15" customHeight="1">
      <c r="A2" s="84" t="s">
        <v>212</v>
      </c>
      <c r="B2" s="44"/>
    </row>
    <row r="3" spans="1:2" ht="15" customHeight="1">
      <c r="A3" s="20" t="s">
        <v>207</v>
      </c>
      <c r="B3" s="39">
        <f ca="1">calcMoneyInThisMonth</f>
        <v>850</v>
      </c>
    </row>
    <row r="4" spans="1:2" ht="15" customHeight="1">
      <c r="A4" s="20" t="s">
        <v>208</v>
      </c>
      <c r="B4" s="39">
        <f ca="1">calcMoneyOutThisMonth</f>
        <v>165</v>
      </c>
    </row>
    <row r="5" spans="1:2" ht="15" customHeight="1">
      <c r="A5" s="20" t="s">
        <v>209</v>
      </c>
      <c r="B5" s="39">
        <f ca="1">calcNetCashFlow</f>
        <v>685</v>
      </c>
    </row>
    <row r="6" spans="1:2" ht="15" customHeight="1">
      <c r="A6" s="20" t="s">
        <v>210</v>
      </c>
      <c r="B6" s="21">
        <f ca="1">calcTransactionCount</f>
        <v>3</v>
      </c>
    </row>
    <row r="7" spans="1:2" ht="15" customHeight="1">
      <c r="A7" s="20" t="s">
        <v>211</v>
      </c>
      <c r="B7" s="39">
        <f ca="1">calcAverageTransaction</f>
        <v>338.33333333333331</v>
      </c>
    </row>
    <row r="8" spans="1:2" ht="15" customHeight="1">
      <c r="A8" s="20" t="s">
        <v>205</v>
      </c>
      <c r="B8" s="40">
        <f ca="1">calcCurrentMonth</f>
        <v>46296</v>
      </c>
    </row>
    <row r="9" spans="1:2" ht="15" customHeight="1">
      <c r="A9" s="20" t="s">
        <v>206</v>
      </c>
      <c r="B9" s="40">
        <f ca="1">calcPreviousMonth</f>
        <v>46266</v>
      </c>
    </row>
    <row r="10" spans="1:2" ht="15" customHeight="1">
      <c r="A10" s="22" t="s">
        <v>213</v>
      </c>
      <c r="B10" s="22"/>
    </row>
    <row r="11" spans="1:2" ht="15" customHeight="1">
      <c r="A11" s="22" t="s">
        <v>214</v>
      </c>
      <c r="B11" s="22"/>
    </row>
    <row r="12" spans="1:2" ht="15" customHeight="1">
      <c r="A12" s="22" t="s">
        <v>215</v>
      </c>
      <c r="B12" s="22"/>
    </row>
    <row r="14" spans="1:2" ht="15" customHeight="1">
      <c r="A14" s="84" t="s">
        <v>216</v>
      </c>
      <c r="B14" s="44"/>
    </row>
    <row r="15" spans="1:2" ht="15" customHeight="1">
      <c r="A15" s="20" t="s">
        <v>217</v>
      </c>
      <c r="B15" s="21">
        <f ca="1">IF(B6&gt;0,1,0)</f>
        <v>1</v>
      </c>
    </row>
    <row r="16" spans="1:2" ht="15" customHeight="1">
      <c r="A16" s="20" t="s">
        <v>218</v>
      </c>
      <c r="B16" s="23">
        <f ca="1">IFERROR(B3/B4,IF(B3&gt;0,999,0))</f>
        <v>5.1515151515151514</v>
      </c>
    </row>
    <row r="18" spans="1:2" ht="15" customHeight="1">
      <c r="A18" s="84" t="s">
        <v>219</v>
      </c>
      <c r="B18" s="44"/>
    </row>
    <row r="19" spans="1:2" ht="15" customHeight="1">
      <c r="A19" s="20" t="s">
        <v>220</v>
      </c>
      <c r="B19" s="21">
        <f ca="1">IF(B16&gt;=1.5,50,IF(B16&gt;=1.1,40,IF(B16&gt;=0.9,28,IF(B16&gt;=0.6,16,5))))</f>
        <v>50</v>
      </c>
    </row>
    <row r="20" spans="1:2" ht="15" customHeight="1">
      <c r="A20" s="20" t="s">
        <v>221</v>
      </c>
      <c r="B20" s="21">
        <f ca="1">IF(B15=1,10,0)</f>
        <v>10</v>
      </c>
    </row>
    <row r="21" spans="1:2" ht="15" customHeight="1">
      <c r="A21" s="22" t="s">
        <v>222</v>
      </c>
      <c r="B21" s="24">
        <v>0</v>
      </c>
    </row>
    <row r="22" spans="1:2" ht="15" customHeight="1">
      <c r="A22" s="22" t="s">
        <v>223</v>
      </c>
      <c r="B22" s="24">
        <v>0</v>
      </c>
    </row>
    <row r="23" spans="1:2" ht="15" customHeight="1">
      <c r="A23" s="22" t="s">
        <v>224</v>
      </c>
      <c r="B23" s="24">
        <v>0</v>
      </c>
    </row>
    <row r="24" spans="1:2" ht="15" customHeight="1">
      <c r="A24" s="20" t="s">
        <v>225</v>
      </c>
      <c r="B24" s="21">
        <f ca="1">B19+B20</f>
        <v>60</v>
      </c>
    </row>
    <row r="25" spans="1:2" ht="15" customHeight="1">
      <c r="A25" s="20" t="s">
        <v>226</v>
      </c>
      <c r="B25" s="21">
        <f ca="1">B19+B20+B21+B22+B23</f>
        <v>60</v>
      </c>
    </row>
    <row r="26" spans="1:2" ht="15" customHeight="1">
      <c r="A26" s="20" t="s">
        <v>227</v>
      </c>
      <c r="B26" s="20" t="str">
        <f ca="1">IF(B15=0,"Getting started",IF(B24&gt;=55,"Excellent",IF(B24&gt;=45,"Good",IF(B24&gt;=32,"Fair",IF(B24&gt;=20,"Warning","Critical")))))</f>
        <v>Excellent</v>
      </c>
    </row>
    <row r="27" spans="1:2" ht="15" customHeight="1">
      <c r="A27" s="20" t="s">
        <v>228</v>
      </c>
      <c r="B27" s="21">
        <f ca="1">IF(B15=0,-1,B25)</f>
        <v>60</v>
      </c>
    </row>
    <row r="29" spans="1:2" ht="15" customHeight="1">
      <c r="A29" s="84" t="s">
        <v>229</v>
      </c>
      <c r="B29" s="44"/>
    </row>
    <row r="30" spans="1:2" ht="15" customHeight="1">
      <c r="A30" s="20" t="s">
        <v>230</v>
      </c>
      <c r="B30" s="20" t="str">
        <f ca="1">B26</f>
        <v>Excellent</v>
      </c>
    </row>
    <row r="31" spans="1:2" ht="15" customHeight="1">
      <c r="A31" s="20" t="s">
        <v>231</v>
      </c>
      <c r="B31" s="21">
        <f ca="1">B27</f>
        <v>60</v>
      </c>
    </row>
    <row r="32" spans="1:2" ht="15" customHeight="1">
      <c r="A32" s="20" t="s">
        <v>232</v>
      </c>
      <c r="B32" s="20" t="str">
        <f ca="1">INDEX($F$40:$F$45,MATCH($B$26,$D$40:$D$45,0))</f>
        <v>Excellent</v>
      </c>
    </row>
    <row r="33" spans="1:9" ht="15" customHeight="1">
      <c r="A33" s="20" t="s">
        <v>233</v>
      </c>
      <c r="B33" s="20" t="str">
        <f ca="1">INDEX($G$40:$G$45,MATCH($B$26,$D$40:$D$45,0))</f>
        <v>Income is well ahead of spending this month</v>
      </c>
    </row>
    <row r="34" spans="1:9" ht="15" customHeight="1">
      <c r="A34" s="20" t="s">
        <v>234</v>
      </c>
      <c r="B34" s="20" t="str">
        <f ca="1">INDEX($H$40:$H$45,MATCH($B$26,$D$40:$D$45,0))</f>
        <v>Success</v>
      </c>
    </row>
    <row r="35" spans="1:9" ht="15" customHeight="1">
      <c r="A35" s="20" t="s">
        <v>235</v>
      </c>
      <c r="B35" s="20" t="str">
        <f ca="1">INDEX($I$40:$I$45,MATCH($B$26,$D$40:$D$45,0))</f>
        <v>star</v>
      </c>
    </row>
    <row r="38" spans="1:9" ht="15" customHeight="1">
      <c r="D38" s="85" t="s">
        <v>236</v>
      </c>
      <c r="E38" s="44"/>
      <c r="F38" s="44"/>
      <c r="G38" s="44"/>
      <c r="H38" s="44"/>
      <c r="I38" s="44"/>
    </row>
    <row r="39" spans="1:9" ht="15" customHeight="1">
      <c r="D39" s="17" t="s">
        <v>237</v>
      </c>
      <c r="E39" s="17" t="s">
        <v>238</v>
      </c>
      <c r="F39" s="17" t="s">
        <v>239</v>
      </c>
      <c r="G39" s="17" t="s">
        <v>240</v>
      </c>
      <c r="H39" s="17" t="s">
        <v>241</v>
      </c>
      <c r="I39" s="17" t="s">
        <v>242</v>
      </c>
    </row>
    <row r="40" spans="1:9" ht="15" customHeight="1">
      <c r="D40" t="s">
        <v>243</v>
      </c>
      <c r="E40">
        <v>-1</v>
      </c>
      <c r="F40" t="s">
        <v>243</v>
      </c>
      <c r="G40" t="s">
        <v>244</v>
      </c>
      <c r="H40" t="s">
        <v>245</v>
      </c>
      <c r="I40" t="s">
        <v>110</v>
      </c>
    </row>
    <row r="41" spans="1:9" ht="15" customHeight="1">
      <c r="D41" t="s">
        <v>246</v>
      </c>
      <c r="E41">
        <v>15</v>
      </c>
      <c r="F41" t="s">
        <v>9</v>
      </c>
      <c r="G41" t="s">
        <v>247</v>
      </c>
      <c r="H41" t="s">
        <v>246</v>
      </c>
      <c r="I41" t="s">
        <v>248</v>
      </c>
    </row>
    <row r="42" spans="1:9" ht="15" customHeight="1">
      <c r="D42" t="s">
        <v>249</v>
      </c>
      <c r="E42">
        <v>26</v>
      </c>
      <c r="F42" t="s">
        <v>250</v>
      </c>
      <c r="G42" t="s">
        <v>251</v>
      </c>
      <c r="H42" t="s">
        <v>249</v>
      </c>
      <c r="I42" t="s">
        <v>252</v>
      </c>
    </row>
    <row r="43" spans="1:9" ht="15" customHeight="1">
      <c r="D43" t="s">
        <v>253</v>
      </c>
      <c r="E43">
        <v>38</v>
      </c>
      <c r="F43" t="s">
        <v>254</v>
      </c>
      <c r="G43" t="s">
        <v>255</v>
      </c>
      <c r="H43" t="s">
        <v>245</v>
      </c>
      <c r="I43" t="s">
        <v>256</v>
      </c>
    </row>
    <row r="44" spans="1:9" ht="15" customHeight="1">
      <c r="D44" t="s">
        <v>257</v>
      </c>
      <c r="E44">
        <v>50</v>
      </c>
      <c r="F44" t="s">
        <v>257</v>
      </c>
      <c r="G44" t="s">
        <v>258</v>
      </c>
      <c r="H44" t="s">
        <v>259</v>
      </c>
      <c r="I44" t="s">
        <v>260</v>
      </c>
    </row>
    <row r="45" spans="1:9" ht="15" customHeight="1">
      <c r="D45" t="s">
        <v>261</v>
      </c>
      <c r="E45">
        <v>60</v>
      </c>
      <c r="F45" t="s">
        <v>261</v>
      </c>
      <c r="G45" t="s">
        <v>262</v>
      </c>
      <c r="H45" t="s">
        <v>259</v>
      </c>
      <c r="I45" t="s">
        <v>263</v>
      </c>
    </row>
  </sheetData>
  <sheetProtection sheet="1"/>
  <mergeCells count="5">
    <mergeCell ref="A2:B2"/>
    <mergeCell ref="A29:B29"/>
    <mergeCell ref="D38:I38"/>
    <mergeCell ref="A14:B14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35"/>
  <sheetViews>
    <sheetView showRowColHeaders="0" zoomScaleNormal="100" workbookViewId="0"/>
  </sheetViews>
  <sheetFormatPr defaultColWidth="8.7109375" defaultRowHeight="15"/>
  <cols>
    <col min="1" max="1" width="14" style="18" customWidth="1"/>
    <col min="2" max="2" width="10" style="18" customWidth="1"/>
    <col min="3" max="3" width="8" style="18" customWidth="1"/>
    <col min="4" max="4" width="30" style="18" customWidth="1"/>
    <col min="5" max="5" width="46" style="18" customWidth="1"/>
    <col min="6" max="6" width="12" style="18" customWidth="1"/>
    <col min="7" max="7" width="16" style="18" customWidth="1"/>
    <col min="8" max="8" width="22" style="18" customWidth="1"/>
  </cols>
  <sheetData>
    <row r="2" spans="1:8" ht="15" customHeight="1">
      <c r="A2" s="84" t="s">
        <v>212</v>
      </c>
      <c r="B2" s="44"/>
      <c r="C2" s="44"/>
      <c r="D2" s="44"/>
      <c r="E2" s="44"/>
      <c r="F2" s="44"/>
      <c r="G2" s="44"/>
      <c r="H2" s="44"/>
    </row>
    <row r="3" spans="1:8" ht="15" customHeight="1">
      <c r="A3" s="20" t="s">
        <v>207</v>
      </c>
      <c r="B3" s="39">
        <f ca="1">calcMoneyInThisMonth</f>
        <v>850</v>
      </c>
    </row>
    <row r="4" spans="1:8" ht="15" customHeight="1">
      <c r="A4" s="20" t="s">
        <v>208</v>
      </c>
      <c r="B4" s="39">
        <f ca="1">calcMoneyOutThisMonth</f>
        <v>165</v>
      </c>
    </row>
    <row r="5" spans="1:8" ht="15" customHeight="1">
      <c r="A5" s="20" t="s">
        <v>209</v>
      </c>
      <c r="B5" s="39">
        <f ca="1">calcNetCashFlow</f>
        <v>685</v>
      </c>
    </row>
    <row r="6" spans="1:8" ht="15" customHeight="1">
      <c r="A6" s="20" t="s">
        <v>210</v>
      </c>
      <c r="B6" s="21">
        <f ca="1">calcTransactionCount</f>
        <v>3</v>
      </c>
    </row>
    <row r="7" spans="1:8" ht="15" customHeight="1">
      <c r="A7" s="22" t="s">
        <v>264</v>
      </c>
      <c r="B7" s="22">
        <f ca="1">SUMPRODUCT((tbl_Bills[Status]&lt;&gt;"Paid")*(tbl_Bills[DueDate]&lt;&gt;"")*(tbl_Bills[DueDate]&lt;TODAY()))</f>
        <v>1</v>
      </c>
    </row>
    <row r="8" spans="1:8" ht="15" customHeight="1">
      <c r="A8" s="22" t="s">
        <v>265</v>
      </c>
      <c r="B8" s="22">
        <f ca="1">SUMPRODUCT((tbl_Invoices[Status]&lt;&gt;"Paid")*(tbl_Invoices[Status]&lt;&gt;"Void")*(tbl_Invoices[Status]&lt;&gt;"Draft")*(tbl_Invoices[DueDate]&lt;&gt;"")*(tbl_Invoices[DueDate]&lt;TODAY()))</f>
        <v>1</v>
      </c>
    </row>
    <row r="9" spans="1:8" ht="15" customHeight="1">
      <c r="A9" s="22" t="s">
        <v>266</v>
      </c>
      <c r="B9" s="22"/>
    </row>
    <row r="11" spans="1:8" ht="15" customHeight="1">
      <c r="A11" s="84" t="s">
        <v>267</v>
      </c>
      <c r="B11" s="44"/>
      <c r="C11" s="44"/>
      <c r="D11" s="44"/>
      <c r="E11" s="44"/>
      <c r="F11" s="44"/>
      <c r="G11" s="44"/>
      <c r="H11" s="44"/>
    </row>
    <row r="12" spans="1:8" ht="15" customHeight="1">
      <c r="A12" s="17" t="s">
        <v>268</v>
      </c>
      <c r="B12" s="17" t="s">
        <v>269</v>
      </c>
      <c r="C12" s="17" t="s">
        <v>270</v>
      </c>
      <c r="D12" s="17" t="s">
        <v>239</v>
      </c>
      <c r="E12" s="17" t="s">
        <v>52</v>
      </c>
      <c r="F12" s="17" t="s">
        <v>271</v>
      </c>
      <c r="G12" s="17" t="s">
        <v>242</v>
      </c>
      <c r="H12" s="17" t="s">
        <v>272</v>
      </c>
    </row>
    <row r="13" spans="1:8" ht="15" customHeight="1">
      <c r="A13" s="25" t="s">
        <v>273</v>
      </c>
      <c r="B13" s="25">
        <v>1</v>
      </c>
      <c r="C13" s="25">
        <f ca="1">IF($B$6=0,1,0)</f>
        <v>0</v>
      </c>
      <c r="D13" s="25" t="s">
        <v>274</v>
      </c>
      <c r="E13" s="25" t="s">
        <v>275</v>
      </c>
      <c r="F13" s="25" t="s">
        <v>276</v>
      </c>
      <c r="G13" s="25" t="s">
        <v>110</v>
      </c>
      <c r="H13" s="25" t="s">
        <v>277</v>
      </c>
    </row>
    <row r="14" spans="1:8" ht="15" customHeight="1">
      <c r="A14" s="25" t="s">
        <v>278</v>
      </c>
      <c r="B14" s="25">
        <v>2</v>
      </c>
      <c r="C14" s="25">
        <f ca="1">IF(AND($B$3=0,$B$6&gt;0),1,0)</f>
        <v>0</v>
      </c>
      <c r="D14" s="25" t="s">
        <v>279</v>
      </c>
      <c r="E14" s="25" t="s">
        <v>280</v>
      </c>
      <c r="F14" s="25" t="s">
        <v>246</v>
      </c>
      <c r="G14" s="25" t="s">
        <v>248</v>
      </c>
      <c r="H14" s="25" t="s">
        <v>277</v>
      </c>
    </row>
    <row r="15" spans="1:8" ht="15" customHeight="1">
      <c r="A15" s="25" t="s">
        <v>281</v>
      </c>
      <c r="B15" s="25">
        <v>3</v>
      </c>
      <c r="C15" s="25">
        <f ca="1">IF(AND($B$5&lt;0,$B$3&gt;0),1,0)</f>
        <v>0</v>
      </c>
      <c r="D15" s="25" t="s">
        <v>282</v>
      </c>
      <c r="E15" s="25" t="s">
        <v>283</v>
      </c>
      <c r="F15" s="25" t="s">
        <v>249</v>
      </c>
      <c r="G15" s="25" t="s">
        <v>252</v>
      </c>
      <c r="H15" s="25" t="s">
        <v>277</v>
      </c>
    </row>
    <row r="16" spans="1:8" ht="15" customHeight="1">
      <c r="A16" s="25" t="s">
        <v>284</v>
      </c>
      <c r="B16" s="25">
        <v>4</v>
      </c>
      <c r="C16" s="25">
        <f ca="1">IF(AND($B$4=0,$B$6&gt;0),1,0)</f>
        <v>0</v>
      </c>
      <c r="D16" s="25" t="s">
        <v>285</v>
      </c>
      <c r="E16" s="25" t="s">
        <v>286</v>
      </c>
      <c r="F16" s="25" t="s">
        <v>276</v>
      </c>
      <c r="G16" s="25" t="s">
        <v>287</v>
      </c>
      <c r="H16" s="25" t="s">
        <v>277</v>
      </c>
    </row>
    <row r="17" spans="1:8" ht="15" customHeight="1">
      <c r="A17" s="25" t="s">
        <v>288</v>
      </c>
      <c r="B17" s="25">
        <v>5</v>
      </c>
      <c r="C17" s="25">
        <f ca="1">IF($B$7&gt;0,1,0)</f>
        <v>1</v>
      </c>
      <c r="D17" s="25" t="s">
        <v>289</v>
      </c>
      <c r="E17" s="25" t="str">
        <f ca="1">"You have "&amp;$B$7&amp;" overdue bill"&amp;IF($B$7=1,"","s")&amp;" totaling "&amp;CurrencySymbol&amp;TEXT(SUMPRODUCT((tbl_Bills[Status]&lt;&gt;"Paid")*(tbl_Bills[DueDate]&lt;&gt;"")*(tbl_Bills[DueDate]&lt;TODAY())*tbl_Bills[Amount]),"#,##0")&amp;"."</f>
        <v>You have 1 overdue bill totaling $150.</v>
      </c>
      <c r="F17" s="25" t="s">
        <v>246</v>
      </c>
      <c r="G17" s="25" t="s">
        <v>248</v>
      </c>
      <c r="H17" s="25" t="s">
        <v>290</v>
      </c>
    </row>
    <row r="18" spans="1:8" ht="15" customHeight="1">
      <c r="A18" s="25" t="s">
        <v>291</v>
      </c>
      <c r="B18" s="25">
        <v>6</v>
      </c>
      <c r="C18" s="25">
        <f ca="1">IF($B$8&gt;0,1,0)</f>
        <v>1</v>
      </c>
      <c r="D18" s="25" t="s">
        <v>292</v>
      </c>
      <c r="E18" s="25" t="str">
        <f ca="1">"You have "&amp;$B$8&amp;" overdue invoice"&amp;IF($B$8=1,"","s")&amp;" worth "&amp;CurrencySymbol&amp;TEXT(SUMPRODUCT((tbl_Invoices[Status]&lt;&gt;"Paid")*(tbl_Invoices[Status]&lt;&gt;"Void")*(tbl_Invoices[Status]&lt;&gt;"Draft")*(tbl_Invoices[DueDate]&lt;&gt;"")*(tbl_Invoices[DueDate]&lt;TODAY())*tbl_Invoices[Amount]),"#,##0")&amp;"."</f>
        <v>You have 1 overdue invoice worth $1,200.</v>
      </c>
      <c r="F18" s="25" t="s">
        <v>246</v>
      </c>
      <c r="G18" s="25" t="s">
        <v>248</v>
      </c>
      <c r="H18" s="25" t="s">
        <v>293</v>
      </c>
    </row>
    <row r="19" spans="1:8" ht="15" customHeight="1">
      <c r="A19" s="26" t="s">
        <v>294</v>
      </c>
      <c r="B19" s="26">
        <v>7</v>
      </c>
      <c r="C19" s="26">
        <v>0</v>
      </c>
      <c r="D19" s="26" t="s">
        <v>295</v>
      </c>
      <c r="E19" s="26" t="s">
        <v>296</v>
      </c>
      <c r="F19" s="26" t="s">
        <v>297</v>
      </c>
      <c r="G19" s="26" t="s">
        <v>297</v>
      </c>
      <c r="H19" s="26" t="s">
        <v>298</v>
      </c>
    </row>
    <row r="21" spans="1:8" ht="15" customHeight="1">
      <c r="A21" s="84" t="s">
        <v>299</v>
      </c>
      <c r="B21" s="44"/>
      <c r="C21" s="44"/>
      <c r="D21" s="44"/>
      <c r="E21" s="44"/>
      <c r="F21" s="44"/>
      <c r="G21" s="44"/>
      <c r="H21" s="44"/>
    </row>
    <row r="22" spans="1:8" ht="15" customHeight="1">
      <c r="A22" s="20" t="s">
        <v>300</v>
      </c>
      <c r="B22" s="20">
        <f t="array" aca="1" ref="B22" ca="1">IFERROR(SMALL(IF($C$13:$C$19=1,$B$13:$B$19),1),"")</f>
        <v>5</v>
      </c>
    </row>
    <row r="23" spans="1:8" ht="15" customHeight="1">
      <c r="A23" s="20" t="s">
        <v>301</v>
      </c>
      <c r="B23" s="20">
        <f t="array" aca="1" ref="B23" ca="1">IFERROR(SMALL(IF($C$13:$C$19=1,$B$13:$B$19),2),"")</f>
        <v>6</v>
      </c>
    </row>
    <row r="24" spans="1:8" ht="15" customHeight="1">
      <c r="A24" s="20" t="s">
        <v>302</v>
      </c>
      <c r="B24" s="20" t="str">
        <f t="array" aca="1" ref="B24" ca="1">IFERROR(SMALL(IF($C$13:$C$19=1,$B$13:$B$19),3),"")</f>
        <v/>
      </c>
    </row>
    <row r="25" spans="1:8" ht="15" customHeight="1">
      <c r="A25" s="20" t="s">
        <v>303</v>
      </c>
      <c r="B25" s="20" t="str">
        <f t="array" aca="1" ref="B25" ca="1">IFERROR(SMALL(IF($C$13:$C$19=1,$B$13:$B$19),4),"")</f>
        <v/>
      </c>
    </row>
    <row r="26" spans="1:8" ht="15" customHeight="1">
      <c r="A26" s="20" t="s">
        <v>304</v>
      </c>
      <c r="B26" s="20" t="str">
        <f t="array" aca="1" ref="B26" ca="1">IFERROR(SMALL(IF($C$13:$C$19=1,$B$13:$B$19),5),"")</f>
        <v/>
      </c>
    </row>
    <row r="28" spans="1:8" ht="15" customHeight="1">
      <c r="A28" s="84" t="s">
        <v>229</v>
      </c>
      <c r="B28" s="44"/>
      <c r="C28" s="44"/>
      <c r="D28" s="44"/>
      <c r="E28" s="44"/>
      <c r="F28" s="44"/>
      <c r="G28" s="44"/>
    </row>
    <row r="29" spans="1:8" ht="15" customHeight="1">
      <c r="A29" s="17" t="s">
        <v>305</v>
      </c>
      <c r="B29" s="17" t="s">
        <v>269</v>
      </c>
      <c r="C29" s="17" t="s">
        <v>239</v>
      </c>
      <c r="D29" s="17" t="s">
        <v>52</v>
      </c>
      <c r="E29" s="17" t="s">
        <v>271</v>
      </c>
      <c r="F29" s="17" t="s">
        <v>242</v>
      </c>
      <c r="G29" s="17" t="s">
        <v>272</v>
      </c>
    </row>
    <row r="30" spans="1:8" ht="15" customHeight="1">
      <c r="A30" s="27" t="s">
        <v>306</v>
      </c>
      <c r="B30" s="27">
        <f ca="1">B22</f>
        <v>5</v>
      </c>
      <c r="C30" s="27" t="str">
        <f ca="1">IFERROR(INDEX($D$13:$D$19,MATCH($B30,$B$13:$B$19,0)),"")</f>
        <v>Overdue bills</v>
      </c>
      <c r="D30" s="27" t="str">
        <f ca="1">IFERROR(INDEX($E$13:$E$19,MATCH($B30,$B$13:$B$19,0)),"")</f>
        <v>You have 1 overdue bill totaling $150.</v>
      </c>
      <c r="E30" s="27" t="str">
        <f ca="1">IFERROR(INDEX($F$13:$F$19,MATCH($B30,$B$13:$B$19,0)),"")</f>
        <v>Critical</v>
      </c>
      <c r="F30" s="27" t="str">
        <f ca="1">IFERROR(INDEX($G$13:$G$19,MATCH($B30,$B$13:$B$19,0)),"")</f>
        <v>alert-triangle</v>
      </c>
      <c r="G30" s="27" t="str">
        <f ca="1">IFERROR(INDEX($H$13:$H$19,MATCH($B30,$B$13:$B$19,0)),"")</f>
        <v>tbl_Bills</v>
      </c>
    </row>
    <row r="31" spans="1:8" ht="15" customHeight="1">
      <c r="A31" s="27" t="s">
        <v>307</v>
      </c>
      <c r="B31" s="27">
        <f ca="1">B23</f>
        <v>6</v>
      </c>
      <c r="C31" s="27" t="str">
        <f ca="1">IFERROR(INDEX($D$13:$D$19,MATCH($B31,$B$13:$B$19,0)),"")</f>
        <v>Overdue invoices</v>
      </c>
      <c r="D31" s="27" t="str">
        <f ca="1">IFERROR(INDEX($E$13:$E$19,MATCH($B31,$B$13:$B$19,0)),"")</f>
        <v>You have 1 overdue invoice worth $1,200.</v>
      </c>
      <c r="E31" s="27" t="str">
        <f ca="1">IFERROR(INDEX($F$13:$F$19,MATCH($B31,$B$13:$B$19,0)),"")</f>
        <v>Critical</v>
      </c>
      <c r="F31" s="27" t="str">
        <f ca="1">IFERROR(INDEX($G$13:$G$19,MATCH($B31,$B$13:$B$19,0)),"")</f>
        <v>alert-triangle</v>
      </c>
      <c r="G31" s="27" t="str">
        <f ca="1">IFERROR(INDEX($H$13:$H$19,MATCH($B31,$B$13:$B$19,0)),"")</f>
        <v>tbl_Invoices</v>
      </c>
    </row>
    <row r="32" spans="1:8" ht="15" customHeight="1">
      <c r="A32" s="27" t="s">
        <v>308</v>
      </c>
      <c r="B32" s="27" t="str">
        <f ca="1">B24</f>
        <v/>
      </c>
      <c r="C32" s="27" t="str">
        <f ca="1">IFERROR(INDEX($D$13:$D$19,MATCH($B32,$B$13:$B$19,0)),"")</f>
        <v/>
      </c>
      <c r="D32" s="27" t="str">
        <f ca="1">IFERROR(INDEX($E$13:$E$19,MATCH($B32,$B$13:$B$19,0)),"")</f>
        <v/>
      </c>
      <c r="E32" s="27" t="str">
        <f ca="1">IFERROR(INDEX($F$13:$F$19,MATCH($B32,$B$13:$B$19,0)),"")</f>
        <v/>
      </c>
      <c r="F32" s="27" t="str">
        <f ca="1">IFERROR(INDEX($G$13:$G$19,MATCH($B32,$B$13:$B$19,0)),"")</f>
        <v/>
      </c>
      <c r="G32" s="27" t="str">
        <f ca="1">IFERROR(INDEX($H$13:$H$19,MATCH($B32,$B$13:$B$19,0)),"")</f>
        <v/>
      </c>
    </row>
    <row r="33" spans="1:7" ht="15" customHeight="1">
      <c r="A33" s="27" t="s">
        <v>309</v>
      </c>
      <c r="B33" s="27" t="str">
        <f ca="1">B25</f>
        <v/>
      </c>
      <c r="C33" s="27" t="str">
        <f ca="1">IFERROR(INDEX($D$13:$D$19,MATCH($B33,$B$13:$B$19,0)),"")</f>
        <v/>
      </c>
      <c r="D33" s="27" t="str">
        <f ca="1">IFERROR(INDEX($E$13:$E$19,MATCH($B33,$B$13:$B$19,0)),"")</f>
        <v/>
      </c>
      <c r="E33" s="27" t="str">
        <f ca="1">IFERROR(INDEX($F$13:$F$19,MATCH($B33,$B$13:$B$19,0)),"")</f>
        <v/>
      </c>
      <c r="F33" s="27" t="str">
        <f ca="1">IFERROR(INDEX($G$13:$G$19,MATCH($B33,$B$13:$B$19,0)),"")</f>
        <v/>
      </c>
      <c r="G33" s="27" t="str">
        <f ca="1">IFERROR(INDEX($H$13:$H$19,MATCH($B33,$B$13:$B$19,0)),"")</f>
        <v/>
      </c>
    </row>
    <row r="34" spans="1:7" ht="15" customHeight="1">
      <c r="A34" s="27" t="s">
        <v>310</v>
      </c>
      <c r="B34" s="27" t="str">
        <f ca="1">B26</f>
        <v/>
      </c>
      <c r="C34" s="27" t="str">
        <f ca="1">IFERROR(INDEX($D$13:$D$19,MATCH($B34,$B$13:$B$19,0)),"")</f>
        <v/>
      </c>
      <c r="D34" s="27" t="str">
        <f ca="1">IFERROR(INDEX($E$13:$E$19,MATCH($B34,$B$13:$B$19,0)),"")</f>
        <v/>
      </c>
      <c r="E34" s="27" t="str">
        <f ca="1">IFERROR(INDEX($F$13:$F$19,MATCH($B34,$B$13:$B$19,0)),"")</f>
        <v/>
      </c>
      <c r="F34" s="27" t="str">
        <f ca="1">IFERROR(INDEX($G$13:$G$19,MATCH($B34,$B$13:$B$19,0)),"")</f>
        <v/>
      </c>
      <c r="G34" s="27" t="str">
        <f ca="1">IFERROR(INDEX($H$13:$H$19,MATCH($B34,$B$13:$B$19,0)),"")</f>
        <v/>
      </c>
    </row>
    <row r="35" spans="1:7" ht="15" customHeight="1">
      <c r="A35" s="20" t="s">
        <v>311</v>
      </c>
      <c r="B35" s="21">
        <f ca="1">SUM($C$13:$C$19)</f>
        <v>2</v>
      </c>
    </row>
  </sheetData>
  <sheetProtection sheet="1"/>
  <mergeCells count="4">
    <mergeCell ref="A2:H2"/>
    <mergeCell ref="A21:H21"/>
    <mergeCell ref="A11:H11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H77"/>
  <sheetViews>
    <sheetView showRowColHeaders="0" zoomScaleNormal="100" workbookViewId="0"/>
  </sheetViews>
  <sheetFormatPr defaultColWidth="8.7109375" defaultRowHeight="15"/>
  <cols>
    <col min="1" max="1" width="16" style="18" customWidth="1"/>
    <col min="2" max="2" width="24" style="18" customWidth="1"/>
    <col min="3" max="3" width="8" style="18" customWidth="1"/>
    <col min="4" max="4" width="26" style="18" customWidth="1"/>
    <col min="5" max="5" width="50" style="18" customWidth="1"/>
    <col min="6" max="6" width="16" style="18" customWidth="1"/>
    <col min="7" max="7" width="14" style="18" customWidth="1"/>
    <col min="8" max="8" width="12" style="18" customWidth="1"/>
  </cols>
  <sheetData>
    <row r="2" spans="1:8" ht="15" customHeight="1">
      <c r="A2" s="84" t="s">
        <v>212</v>
      </c>
      <c r="B2" s="44"/>
    </row>
    <row r="3" spans="1:8" ht="15" customHeight="1">
      <c r="A3" s="20" t="s">
        <v>207</v>
      </c>
      <c r="B3" s="39">
        <f ca="1">calcMoneyInThisMonth</f>
        <v>850</v>
      </c>
    </row>
    <row r="4" spans="1:8" ht="15" customHeight="1">
      <c r="A4" s="20" t="s">
        <v>208</v>
      </c>
      <c r="B4" s="39">
        <f ca="1">calcMoneyOutThisMonth</f>
        <v>165</v>
      </c>
    </row>
    <row r="5" spans="1:8" ht="15" customHeight="1">
      <c r="A5" s="20" t="s">
        <v>209</v>
      </c>
      <c r="B5" s="39">
        <f ca="1">calcNetCashFlow</f>
        <v>685</v>
      </c>
    </row>
    <row r="6" spans="1:8" ht="15" customHeight="1">
      <c r="A6" s="20" t="s">
        <v>210</v>
      </c>
      <c r="B6" s="21">
        <f ca="1">calcTransactionCount</f>
        <v>3</v>
      </c>
    </row>
    <row r="7" spans="1:8" ht="15" customHeight="1">
      <c r="A7" s="20" t="s">
        <v>211</v>
      </c>
      <c r="B7" s="39">
        <f ca="1">calcAverageTransaction</f>
        <v>338.33333333333331</v>
      </c>
    </row>
    <row r="8" spans="1:8" ht="15" customHeight="1">
      <c r="A8" s="20" t="s">
        <v>205</v>
      </c>
      <c r="B8" s="40">
        <f ca="1">calcCurrentMonth</f>
        <v>46296</v>
      </c>
    </row>
    <row r="9" spans="1:8" ht="15" customHeight="1">
      <c r="A9" s="20" t="s">
        <v>206</v>
      </c>
      <c r="B9" s="40">
        <f ca="1">calcPreviousMonth</f>
        <v>46266</v>
      </c>
    </row>
    <row r="10" spans="1:8" ht="15" customHeight="1">
      <c r="A10" s="22" t="s">
        <v>312</v>
      </c>
      <c r="B10" s="28">
        <f>B77</f>
        <v>0.62</v>
      </c>
    </row>
    <row r="12" spans="1:8" ht="15" customHeight="1">
      <c r="A12" s="84" t="s">
        <v>267</v>
      </c>
      <c r="B12" s="44"/>
      <c r="C12" s="44"/>
      <c r="D12" s="44"/>
      <c r="E12" s="44"/>
      <c r="F12" s="44"/>
      <c r="G12" s="44"/>
      <c r="H12" s="44"/>
    </row>
    <row r="13" spans="1:8" ht="15" customHeight="1">
      <c r="A13" s="17" t="s">
        <v>268</v>
      </c>
      <c r="B13" s="17" t="s">
        <v>269</v>
      </c>
      <c r="C13" s="17" t="s">
        <v>270</v>
      </c>
      <c r="D13" s="17" t="s">
        <v>239</v>
      </c>
      <c r="E13" s="17" t="s">
        <v>313</v>
      </c>
      <c r="F13" s="17" t="s">
        <v>314</v>
      </c>
      <c r="G13" s="17" t="s">
        <v>315</v>
      </c>
      <c r="H13" s="17" t="s">
        <v>242</v>
      </c>
    </row>
    <row r="14" spans="1:8" ht="15" customHeight="1">
      <c r="A14" s="25" t="s">
        <v>273</v>
      </c>
      <c r="B14" s="25">
        <v>1</v>
      </c>
      <c r="C14" s="25">
        <f ca="1">IF(AND($B$6&gt;0,$B$71&gt;0),1,0)</f>
        <v>1</v>
      </c>
      <c r="D14" s="25" t="s">
        <v>316</v>
      </c>
      <c r="E14" s="25" t="str">
        <f ca="1">"Your biggest expense this month was "&amp;$B$70&amp;" at "&amp;CurrencySymbol&amp;TEXT($B$71,"#,##0")&amp;"."</f>
        <v>Your biggest expense this month was Supplies at $165.</v>
      </c>
      <c r="F14" s="25" t="s">
        <v>317</v>
      </c>
      <c r="G14" s="41">
        <f ca="1">$B$71</f>
        <v>165</v>
      </c>
      <c r="H14" s="25" t="s">
        <v>318</v>
      </c>
    </row>
    <row r="15" spans="1:8" ht="15" customHeight="1">
      <c r="A15" s="25" t="s">
        <v>278</v>
      </c>
      <c r="B15" s="25">
        <v>2</v>
      </c>
      <c r="C15" s="25">
        <f ca="1">IF(AND($B$6&gt;0,$B$73&gt;0),1,0)</f>
        <v>1</v>
      </c>
      <c r="D15" s="25" t="s">
        <v>319</v>
      </c>
      <c r="E15" s="25" t="str">
        <f ca="1">"You paid "&amp;$B$72&amp;" more than anyone else this month, totaling "&amp;CurrencySymbol&amp;TEXT($B$73,"#,##0")&amp;"."</f>
        <v>You paid City Wholesale Supplies more than anyone else this month, totaling $165.</v>
      </c>
      <c r="F15" s="25" t="s">
        <v>320</v>
      </c>
      <c r="G15" s="41">
        <f ca="1">$B$73</f>
        <v>165</v>
      </c>
      <c r="H15" s="25" t="s">
        <v>155</v>
      </c>
    </row>
    <row r="16" spans="1:8" ht="15" customHeight="1">
      <c r="A16" s="25" t="s">
        <v>281</v>
      </c>
      <c r="B16" s="25">
        <v>3</v>
      </c>
      <c r="C16" s="25">
        <f ca="1">IF($B$3&gt;0,1,0)</f>
        <v>1</v>
      </c>
      <c r="D16" s="25" t="s">
        <v>321</v>
      </c>
      <c r="E16" s="25" t="str">
        <f ca="1">"You've brought in "&amp;CurrencySymbol&amp;TEXT($B$3,"#,##0")&amp;" so far this month."</f>
        <v>You've brought in $850 so far this month.</v>
      </c>
      <c r="F16" s="25" t="s">
        <v>322</v>
      </c>
      <c r="G16" s="41">
        <f ca="1">$B$3</f>
        <v>850</v>
      </c>
      <c r="H16" s="25" t="s">
        <v>260</v>
      </c>
    </row>
    <row r="17" spans="1:8" ht="15" customHeight="1">
      <c r="A17" s="25" t="s">
        <v>284</v>
      </c>
      <c r="B17" s="25">
        <v>4</v>
      </c>
      <c r="C17" s="25">
        <f ca="1">IF($B$6&gt;0,1,0)</f>
        <v>1</v>
      </c>
      <c r="D17" s="25" t="s">
        <v>323</v>
      </c>
      <c r="E17" s="25" t="str">
        <f ca="1">"Your average transaction this month is "&amp;CurrencySymbol&amp;TEXT($B$7,"#,##0")&amp;"."</f>
        <v>Your average transaction this month is $338.</v>
      </c>
      <c r="F17" s="25" t="s">
        <v>322</v>
      </c>
      <c r="G17" s="41">
        <f ca="1">$B$7</f>
        <v>338.33333333333331</v>
      </c>
      <c r="H17" s="25" t="s">
        <v>324</v>
      </c>
    </row>
    <row r="18" spans="1:8" ht="15" customHeight="1">
      <c r="A18" s="25" t="s">
        <v>288</v>
      </c>
      <c r="B18" s="25">
        <v>5</v>
      </c>
      <c r="C18" s="25">
        <f ca="1">IF($B$6&gt;0,1,0)</f>
        <v>1</v>
      </c>
      <c r="D18" s="25" t="s">
        <v>325</v>
      </c>
      <c r="E18" s="25" t="str">
        <f ca="1">"You've logged "&amp;$B$6&amp;" transaction"&amp;IF($B$6=1,"","s")&amp;" this month."</f>
        <v>You've logged 3 transactions this month.</v>
      </c>
      <c r="F18" s="25" t="s">
        <v>326</v>
      </c>
      <c r="G18" s="29">
        <f ca="1">$B$6</f>
        <v>3</v>
      </c>
      <c r="H18" s="25" t="s">
        <v>327</v>
      </c>
    </row>
    <row r="19" spans="1:8" ht="15" customHeight="1">
      <c r="A19" s="25" t="s">
        <v>291</v>
      </c>
      <c r="B19" s="25">
        <v>6</v>
      </c>
      <c r="C19" s="25">
        <f>IF($B$74&lt;&gt;"",1,0)</f>
        <v>1</v>
      </c>
      <c r="D19" s="25" t="s">
        <v>328</v>
      </c>
      <c r="E19" s="25" t="str">
        <f>"You are "&amp;TEXT($B$77,"0%")&amp;" of the way to your "&amp;$B$74&amp;" goal."</f>
        <v>You are 62% of the way to your Emergency Fund goal.</v>
      </c>
      <c r="F19" s="25" t="s">
        <v>312</v>
      </c>
      <c r="G19" s="30">
        <f>$B$77</f>
        <v>0.62</v>
      </c>
      <c r="H19" s="25" t="s">
        <v>329</v>
      </c>
    </row>
    <row r="21" spans="1:8" ht="15" customHeight="1">
      <c r="A21" s="84" t="s">
        <v>330</v>
      </c>
      <c r="B21" s="44"/>
    </row>
    <row r="22" spans="1:8" ht="15" customHeight="1">
      <c r="A22" s="20" t="s">
        <v>300</v>
      </c>
      <c r="B22" s="20">
        <f t="array" aca="1" ref="B22" ca="1">IFERROR(SMALL(IF($C$14:$C$19=1,$B$14:$B$19),1),"")</f>
        <v>1</v>
      </c>
    </row>
    <row r="23" spans="1:8" ht="15" customHeight="1">
      <c r="A23" s="20" t="s">
        <v>301</v>
      </c>
      <c r="B23" s="20">
        <f t="array" aca="1" ref="B23" ca="1">IFERROR(SMALL(IF($C$14:$C$19=1,$B$14:$B$19),2),"")</f>
        <v>2</v>
      </c>
    </row>
    <row r="24" spans="1:8" ht="15" customHeight="1">
      <c r="A24" s="20" t="s">
        <v>302</v>
      </c>
      <c r="B24" s="20">
        <f t="array" aca="1" ref="B24" ca="1">IFERROR(SMALL(IF($C$14:$C$19=1,$B$14:$B$19),3),"")</f>
        <v>3</v>
      </c>
    </row>
    <row r="26" spans="1:8" ht="15" customHeight="1">
      <c r="A26" s="84" t="s">
        <v>229</v>
      </c>
      <c r="B26" s="44"/>
      <c r="C26" s="44"/>
      <c r="D26" s="44"/>
      <c r="E26" s="44"/>
      <c r="F26" s="44"/>
      <c r="G26" s="44"/>
      <c r="H26" s="44"/>
    </row>
    <row r="27" spans="1:8" ht="15" customHeight="1">
      <c r="A27" s="17" t="s">
        <v>305</v>
      </c>
      <c r="B27" s="17" t="s">
        <v>269</v>
      </c>
      <c r="C27" s="17" t="s">
        <v>239</v>
      </c>
      <c r="D27" s="17" t="s">
        <v>313</v>
      </c>
      <c r="E27" s="17" t="s">
        <v>314</v>
      </c>
      <c r="F27" s="17" t="s">
        <v>315</v>
      </c>
      <c r="G27" s="17" t="s">
        <v>242</v>
      </c>
      <c r="H27" s="17" t="s">
        <v>331</v>
      </c>
    </row>
    <row r="28" spans="1:8" ht="15" customHeight="1">
      <c r="A28" s="27" t="s">
        <v>306</v>
      </c>
      <c r="B28" s="27">
        <f ca="1">B22</f>
        <v>1</v>
      </c>
      <c r="C28" s="27" t="str">
        <f ca="1">IFERROR(INDEX($D$14:$D$19,MATCH($B28,$B$14:$B$19,0)),"")</f>
        <v>Your biggest expense</v>
      </c>
      <c r="D28" s="27" t="str">
        <f ca="1">IFERROR(INDEX($E$14:$E$19,MATCH($B28,$B$14:$B$19,0)),"")</f>
        <v>Your biggest expense this month was Supplies at $165.</v>
      </c>
      <c r="E28" s="27" t="str">
        <f ca="1">IFERROR(INDEX($F$14:$F$19,MATCH($B28,$B$14:$B$19,0)),"")</f>
        <v>Spending Pattern</v>
      </c>
      <c r="F28" s="42">
        <f ca="1">IFERROR(INDEX($G$14:$G$19,MATCH($B28,$B$14:$B$19,0)),"")</f>
        <v>165</v>
      </c>
      <c r="G28" s="27" t="str">
        <f ca="1">IFERROR(INDEX($H$14:$H$19,MATCH($B28,$B$14:$B$19,0)),"")</f>
        <v>bar-chart</v>
      </c>
      <c r="H28" s="27">
        <v>1</v>
      </c>
    </row>
    <row r="29" spans="1:8" ht="15" customHeight="1">
      <c r="A29" s="27" t="s">
        <v>307</v>
      </c>
      <c r="B29" s="27">
        <f ca="1">B23</f>
        <v>2</v>
      </c>
      <c r="C29" s="27" t="str">
        <f ca="1">IFERROR(INDEX($D$14:$D$19,MATCH($B29,$B$14:$B$19,0)),"")</f>
        <v>Your top vendor</v>
      </c>
      <c r="D29" s="27" t="str">
        <f ca="1">IFERROR(INDEX($E$14:$E$19,MATCH($B29,$B$14:$B$19,0)),"")</f>
        <v>You paid City Wholesale Supplies more than anyone else this month, totaling $165.</v>
      </c>
      <c r="E29" s="27" t="str">
        <f ca="1">IFERROR(INDEX($F$14:$F$19,MATCH($B29,$B$14:$B$19,0)),"")</f>
        <v>Vendor Pattern</v>
      </c>
      <c r="F29" s="42">
        <f ca="1">IFERROR(INDEX($G$14:$G$19,MATCH($B29,$B$14:$B$19,0)),"")</f>
        <v>165</v>
      </c>
      <c r="G29" s="27" t="str">
        <f ca="1">IFERROR(INDEX($H$14:$H$19,MATCH($B29,$B$14:$B$19,0)),"")</f>
        <v>briefcase</v>
      </c>
      <c r="H29" s="27">
        <v>2</v>
      </c>
    </row>
    <row r="30" spans="1:8" ht="15" customHeight="1">
      <c r="A30" s="27" t="s">
        <v>308</v>
      </c>
      <c r="B30" s="27">
        <f ca="1">B24</f>
        <v>3</v>
      </c>
      <c r="C30" s="27" t="str">
        <f ca="1">IFERROR(INDEX($D$14:$D$19,MATCH($B30,$B$14:$B$19,0)),"")</f>
        <v>Income this month</v>
      </c>
      <c r="D30" s="27" t="str">
        <f ca="1">IFERROR(INDEX($E$14:$E$19,MATCH($B30,$B$14:$B$19,0)),"")</f>
        <v>You've brought in $850 so far this month.</v>
      </c>
      <c r="E30" s="27" t="str">
        <f ca="1">IFERROR(INDEX($F$14:$F$19,MATCH($B30,$B$14:$B$19,0)),"")</f>
        <v>Summary</v>
      </c>
      <c r="F30" s="42">
        <f ca="1">IFERROR(INDEX($G$14:$G$19,MATCH($B30,$B$14:$B$19,0)),"")</f>
        <v>850</v>
      </c>
      <c r="G30" s="27" t="str">
        <f ca="1">IFERROR(INDEX($H$14:$H$19,MATCH($B30,$B$14:$B$19,0)),"")</f>
        <v>trending-up</v>
      </c>
      <c r="H30" s="27">
        <v>3</v>
      </c>
    </row>
    <row r="31" spans="1:8" ht="15" customHeight="1">
      <c r="A31" s="20" t="s">
        <v>332</v>
      </c>
      <c r="B31" s="21">
        <f ca="1">SUM($C$14:$C$19)</f>
        <v>6</v>
      </c>
    </row>
    <row r="33" spans="1:3" ht="15" customHeight="1">
      <c r="A33" s="84" t="s">
        <v>333</v>
      </c>
      <c r="B33" s="44"/>
      <c r="C33" s="44"/>
    </row>
    <row r="34" spans="1:3" ht="15" customHeight="1">
      <c r="A34" s="33" t="s">
        <v>334</v>
      </c>
    </row>
    <row r="35" spans="1:3" ht="15" customHeight="1">
      <c r="A35" s="31" t="s">
        <v>59</v>
      </c>
      <c r="B35" s="31" t="s">
        <v>123</v>
      </c>
      <c r="C35" s="31" t="s">
        <v>335</v>
      </c>
    </row>
    <row r="36" spans="1:3" ht="15" customHeight="1">
      <c r="A36" t="str">
        <f>IFERROR(INDEX(tbl_Categories[CategoryID],1),"")</f>
        <v>CAT-001</v>
      </c>
      <c r="B36" t="str">
        <f>IFERROR(INDEX(tbl_Categories[CategoryName],1),"")</f>
        <v>Client payments</v>
      </c>
      <c r="C36">
        <f ca="1">IF(A36="","",SUMIFS(tbl_Transactions[Amount],tbl_Transactions[CategoryID],A36,tbl_Transactions[Direction],"Out",tbl_Transactions[Date],"&gt;="&amp;$B$8,tbl_Transactions[Date],"&lt;"&amp;EDATE($B$8,1)))</f>
        <v>0</v>
      </c>
    </row>
    <row r="37" spans="1:3" ht="15" customHeight="1">
      <c r="A37" t="str">
        <f>IFERROR(INDEX(tbl_Categories[CategoryID],2),"")</f>
        <v>CAT-002</v>
      </c>
      <c r="B37" t="str">
        <f>IFERROR(INDEX(tbl_Categories[CategoryName],2),"")</f>
        <v>Product sales</v>
      </c>
      <c r="C37">
        <f ca="1">IF(A37="","",SUMIFS(tbl_Transactions[Amount],tbl_Transactions[CategoryID],A37,tbl_Transactions[Direction],"Out",tbl_Transactions[Date],"&gt;="&amp;$B$8,tbl_Transactions[Date],"&lt;"&amp;EDATE($B$8,1)))</f>
        <v>0</v>
      </c>
    </row>
    <row r="38" spans="1:3" ht="15" customHeight="1">
      <c r="A38" t="str">
        <f>IFERROR(INDEX(tbl_Categories[CategoryID],3),"")</f>
        <v>CAT-003</v>
      </c>
      <c r="B38" t="str">
        <f>IFERROR(INDEX(tbl_Categories[CategoryName],3),"")</f>
        <v>Other income</v>
      </c>
      <c r="C38">
        <f ca="1">IF(A38="","",SUMIFS(tbl_Transactions[Amount],tbl_Transactions[CategoryID],A38,tbl_Transactions[Direction],"Out",tbl_Transactions[Date],"&gt;="&amp;$B$8,tbl_Transactions[Date],"&lt;"&amp;EDATE($B$8,1)))</f>
        <v>0</v>
      </c>
    </row>
    <row r="39" spans="1:3" ht="15" customHeight="1">
      <c r="A39" t="str">
        <f>IFERROR(INDEX(tbl_Categories[CategoryID],4),"")</f>
        <v>CAT-004</v>
      </c>
      <c r="B39" t="str">
        <f>IFERROR(INDEX(tbl_Categories[CategoryName],4),"")</f>
        <v>Rent</v>
      </c>
      <c r="C39">
        <f ca="1">IF(A39="","",SUMIFS(tbl_Transactions[Amount],tbl_Transactions[CategoryID],A39,tbl_Transactions[Direction],"Out",tbl_Transactions[Date],"&gt;="&amp;$B$8,tbl_Transactions[Date],"&lt;"&amp;EDATE($B$8,1)))</f>
        <v>0</v>
      </c>
    </row>
    <row r="40" spans="1:3" ht="15" customHeight="1">
      <c r="A40" t="str">
        <f>IFERROR(INDEX(tbl_Categories[CategoryID],5),"")</f>
        <v>CAT-005</v>
      </c>
      <c r="B40" t="str">
        <f>IFERROR(INDEX(tbl_Categories[CategoryName],5),"")</f>
        <v>Utilities</v>
      </c>
      <c r="C40">
        <f ca="1">IF(A40="","",SUMIFS(tbl_Transactions[Amount],tbl_Transactions[CategoryID],A40,tbl_Transactions[Direction],"Out",tbl_Transactions[Date],"&gt;="&amp;$B$8,tbl_Transactions[Date],"&lt;"&amp;EDATE($B$8,1)))</f>
        <v>0</v>
      </c>
    </row>
    <row r="41" spans="1:3" ht="15" customHeight="1">
      <c r="A41" t="str">
        <f>IFERROR(INDEX(tbl_Categories[CategoryID],6),"")</f>
        <v>CAT-006</v>
      </c>
      <c r="B41" t="str">
        <f>IFERROR(INDEX(tbl_Categories[CategoryName],6),"")</f>
        <v>Software subscriptions</v>
      </c>
      <c r="C41">
        <f ca="1">IF(A41="","",SUMIFS(tbl_Transactions[Amount],tbl_Transactions[CategoryID],A41,tbl_Transactions[Direction],"Out",tbl_Transactions[Date],"&gt;="&amp;$B$8,tbl_Transactions[Date],"&lt;"&amp;EDATE($B$8,1)))</f>
        <v>0</v>
      </c>
    </row>
    <row r="42" spans="1:3" ht="15" customHeight="1">
      <c r="A42" t="str">
        <f>IFERROR(INDEX(tbl_Categories[CategoryID],7),"")</f>
        <v>CAT-007</v>
      </c>
      <c r="B42" t="str">
        <f>IFERROR(INDEX(tbl_Categories[CategoryName],7),"")</f>
        <v>Supplies</v>
      </c>
      <c r="C42">
        <f ca="1">IF(A42="","",SUMIFS(tbl_Transactions[Amount],tbl_Transactions[CategoryID],A42,tbl_Transactions[Direction],"Out",tbl_Transactions[Date],"&gt;="&amp;$B$8,tbl_Transactions[Date],"&lt;"&amp;EDATE($B$8,1)))</f>
        <v>165</v>
      </c>
    </row>
    <row r="43" spans="1:3" ht="15" customHeight="1">
      <c r="A43" t="str">
        <f>IFERROR(INDEX(tbl_Categories[CategoryID],8),"")</f>
        <v>CAT-008</v>
      </c>
      <c r="B43" t="str">
        <f>IFERROR(INDEX(tbl_Categories[CategoryName],8),"")</f>
        <v>Payroll</v>
      </c>
      <c r="C43">
        <f ca="1">IF(A43="","",SUMIFS(tbl_Transactions[Amount],tbl_Transactions[CategoryID],A43,tbl_Transactions[Direction],"Out",tbl_Transactions[Date],"&gt;="&amp;$B$8,tbl_Transactions[Date],"&lt;"&amp;EDATE($B$8,1)))</f>
        <v>0</v>
      </c>
    </row>
    <row r="44" spans="1:3" ht="15" customHeight="1">
      <c r="A44" t="str">
        <f>IFERROR(INDEX(tbl_Categories[CategoryID],9),"")</f>
        <v>CAT-009</v>
      </c>
      <c r="B44" t="str">
        <f>IFERROR(INDEX(tbl_Categories[CategoryName],9),"")</f>
        <v>Marketing</v>
      </c>
      <c r="C44">
        <f ca="1">IF(A44="","",SUMIFS(tbl_Transactions[Amount],tbl_Transactions[CategoryID],A44,tbl_Transactions[Direction],"Out",tbl_Transactions[Date],"&gt;="&amp;$B$8,tbl_Transactions[Date],"&lt;"&amp;EDATE($B$8,1)))</f>
        <v>0</v>
      </c>
    </row>
    <row r="45" spans="1:3" ht="15" customHeight="1">
      <c r="A45" t="str">
        <f>IFERROR(INDEX(tbl_Categories[CategoryID],10),"")</f>
        <v>CAT-010</v>
      </c>
      <c r="B45" t="str">
        <f>IFERROR(INDEX(tbl_Categories[CategoryName],10),"")</f>
        <v>Insurance</v>
      </c>
      <c r="C45">
        <f ca="1">IF(A45="","",SUMIFS(tbl_Transactions[Amount],tbl_Transactions[CategoryID],A45,tbl_Transactions[Direction],"Out",tbl_Transactions[Date],"&gt;="&amp;$B$8,tbl_Transactions[Date],"&lt;"&amp;EDATE($B$8,1)))</f>
        <v>0</v>
      </c>
    </row>
    <row r="46" spans="1:3" ht="15" customHeight="1">
      <c r="A46" t="str">
        <f>IFERROR(INDEX(tbl_Categories[CategoryID],11),"")</f>
        <v>CAT-011</v>
      </c>
      <c r="B46" t="str">
        <f>IFERROR(INDEX(tbl_Categories[CategoryName],11),"")</f>
        <v>Contractor payments</v>
      </c>
      <c r="C46">
        <f ca="1">IF(A46="","",SUMIFS(tbl_Transactions[Amount],tbl_Transactions[CategoryID],A46,tbl_Transactions[Direction],"Out",tbl_Transactions[Date],"&gt;="&amp;$B$8,tbl_Transactions[Date],"&lt;"&amp;EDATE($B$8,1)))</f>
        <v>0</v>
      </c>
    </row>
    <row r="47" spans="1:3" ht="15" customHeight="1">
      <c r="A47" t="str">
        <f>IFERROR(INDEX(tbl_Categories[CategoryID],12),"")</f>
        <v>CAT-012</v>
      </c>
      <c r="B47" t="str">
        <f>IFERROR(INDEX(tbl_Categories[CategoryName],12),"")</f>
        <v>Other expenses</v>
      </c>
      <c r="C47">
        <f ca="1">IF(A47="","",SUMIFS(tbl_Transactions[Amount],tbl_Transactions[CategoryID],A47,tbl_Transactions[Direction],"Out",tbl_Transactions[Date],"&gt;="&amp;$B$8,tbl_Transactions[Date],"&lt;"&amp;EDATE($B$8,1)))</f>
        <v>0</v>
      </c>
    </row>
    <row r="48" spans="1:3" ht="15" customHeight="1">
      <c r="A48" t="str">
        <f>IFERROR(INDEX(tbl_Categories[CategoryID],13),"")</f>
        <v/>
      </c>
      <c r="B48" t="str">
        <f>IFERROR(INDEX(tbl_Categories[CategoryName],13),"")</f>
        <v/>
      </c>
      <c r="C48" t="str">
        <f>IF(A48="","",SUMIFS(tbl_Transactions[Amount],tbl_Transactions[CategoryID],A48,tbl_Transactions[Direction],"Out",tbl_Transactions[Date],"&gt;="&amp;$B$8,tbl_Transactions[Date],"&lt;"&amp;EDATE($B$8,1)))</f>
        <v/>
      </c>
    </row>
    <row r="49" spans="1:3" ht="15" customHeight="1">
      <c r="A49" t="str">
        <f>IFERROR(INDEX(tbl_Categories[CategoryID],14),"")</f>
        <v/>
      </c>
      <c r="B49" t="str">
        <f>IFERROR(INDEX(tbl_Categories[CategoryName],14),"")</f>
        <v/>
      </c>
      <c r="C49" t="str">
        <f>IF(A49="","",SUMIFS(tbl_Transactions[Amount],tbl_Transactions[CategoryID],A49,tbl_Transactions[Direction],"Out",tbl_Transactions[Date],"&gt;="&amp;$B$8,tbl_Transactions[Date],"&lt;"&amp;EDATE($B$8,1)))</f>
        <v/>
      </c>
    </row>
    <row r="50" spans="1:3" ht="15" customHeight="1">
      <c r="A50" t="str">
        <f>IFERROR(INDEX(tbl_Categories[CategoryID],15),"")</f>
        <v/>
      </c>
      <c r="B50" t="str">
        <f>IFERROR(INDEX(tbl_Categories[CategoryName],15),"")</f>
        <v/>
      </c>
      <c r="C50" t="str">
        <f>IF(A50="","",SUMIFS(tbl_Transactions[Amount],tbl_Transactions[CategoryID],A50,tbl_Transactions[Direction],"Out",tbl_Transactions[Date],"&gt;="&amp;$B$8,tbl_Transactions[Date],"&lt;"&amp;EDATE($B$8,1)))</f>
        <v/>
      </c>
    </row>
    <row r="51" spans="1:3" ht="15" customHeight="1">
      <c r="A51" t="str">
        <f>IFERROR(INDEX(tbl_Categories[CategoryID],16),"")</f>
        <v/>
      </c>
      <c r="B51" t="str">
        <f>IFERROR(INDEX(tbl_Categories[CategoryName],16),"")</f>
        <v/>
      </c>
      <c r="C51" t="str">
        <f>IF(A51="","",SUMIFS(tbl_Transactions[Amount],tbl_Transactions[CategoryID],A51,tbl_Transactions[Direction],"Out",tbl_Transactions[Date],"&gt;="&amp;$B$8,tbl_Transactions[Date],"&lt;"&amp;EDATE($B$8,1)))</f>
        <v/>
      </c>
    </row>
    <row r="52" spans="1:3" ht="15" customHeight="1">
      <c r="A52" t="str">
        <f>IFERROR(INDEX(tbl_Categories[CategoryID],17),"")</f>
        <v/>
      </c>
      <c r="B52" t="str">
        <f>IFERROR(INDEX(tbl_Categories[CategoryName],17),"")</f>
        <v/>
      </c>
      <c r="C52" t="str">
        <f>IF(A52="","",SUMIFS(tbl_Transactions[Amount],tbl_Transactions[CategoryID],A52,tbl_Transactions[Direction],"Out",tbl_Transactions[Date],"&gt;="&amp;$B$8,tbl_Transactions[Date],"&lt;"&amp;EDATE($B$8,1)))</f>
        <v/>
      </c>
    </row>
    <row r="53" spans="1:3" ht="15" customHeight="1">
      <c r="A53" t="str">
        <f>IFERROR(INDEX(tbl_Categories[CategoryID],18),"")</f>
        <v/>
      </c>
      <c r="B53" t="str">
        <f>IFERROR(INDEX(tbl_Categories[CategoryName],18),"")</f>
        <v/>
      </c>
      <c r="C53" t="str">
        <f>IF(A53="","",SUMIFS(tbl_Transactions[Amount],tbl_Transactions[CategoryID],A53,tbl_Transactions[Direction],"Out",tbl_Transactions[Date],"&gt;="&amp;$B$8,tbl_Transactions[Date],"&lt;"&amp;EDATE($B$8,1)))</f>
        <v/>
      </c>
    </row>
    <row r="54" spans="1:3" ht="15" customHeight="1">
      <c r="A54" t="str">
        <f>IFERROR(INDEX(tbl_Categories[CategoryID],19),"")</f>
        <v/>
      </c>
      <c r="B54" t="str">
        <f>IFERROR(INDEX(tbl_Categories[CategoryName],19),"")</f>
        <v/>
      </c>
      <c r="C54" t="str">
        <f>IF(A54="","",SUMIFS(tbl_Transactions[Amount],tbl_Transactions[CategoryID],A54,tbl_Transactions[Direction],"Out",tbl_Transactions[Date],"&gt;="&amp;$B$8,tbl_Transactions[Date],"&lt;"&amp;EDATE($B$8,1)))</f>
        <v/>
      </c>
    </row>
    <row r="55" spans="1:3" ht="15" customHeight="1">
      <c r="A55" t="str">
        <f>IFERROR(INDEX(tbl_Categories[CategoryID],20),"")</f>
        <v/>
      </c>
      <c r="B55" t="str">
        <f>IFERROR(INDEX(tbl_Categories[CategoryName],20),"")</f>
        <v/>
      </c>
      <c r="C55" t="str">
        <f>IF(A55="","",SUMIFS(tbl_Transactions[Amount],tbl_Transactions[CategoryID],A55,tbl_Transactions[Direction],"Out",tbl_Transactions[Date],"&gt;="&amp;$B$8,tbl_Transactions[Date],"&lt;"&amp;EDATE($B$8,1)))</f>
        <v/>
      </c>
    </row>
    <row r="57" spans="1:3" ht="15" customHeight="1">
      <c r="A57" s="33" t="s">
        <v>336</v>
      </c>
    </row>
    <row r="58" spans="1:3" ht="15" customHeight="1">
      <c r="A58" s="31" t="s">
        <v>61</v>
      </c>
      <c r="B58" s="31" t="s">
        <v>159</v>
      </c>
      <c r="C58" s="31" t="s">
        <v>335</v>
      </c>
    </row>
    <row r="59" spans="1:3" ht="15" customHeight="1">
      <c r="A59" t="str">
        <f>IFERROR(INDEX(tbl_Vendors[VendorID],1),"")</f>
        <v>VEN-007</v>
      </c>
      <c r="B59" t="str">
        <f>IFERROR(INDEX(tbl_Vendors[VendorName],1),"")</f>
        <v>City Wholesale Supplies</v>
      </c>
      <c r="C59">
        <f ca="1">IF(A59="","",SUMIFS(tbl_Transactions[Amount],tbl_Transactions[VendorID],A59,tbl_Transactions[Direction],"Out",tbl_Transactions[Date],"&gt;="&amp;$B$8,tbl_Transactions[Date],"&lt;"&amp;EDATE($B$8,1)))</f>
        <v>165</v>
      </c>
    </row>
    <row r="60" spans="1:3" ht="15" customHeight="1">
      <c r="A60" t="str">
        <f>IFERROR(INDEX(tbl_Vendors[VendorID],2),"")</f>
        <v/>
      </c>
      <c r="B60" t="str">
        <f>IFERROR(INDEX(tbl_Vendors[VendorName],2),"")</f>
        <v/>
      </c>
      <c r="C60" t="str">
        <f>IF(A60="","",SUMIFS(tbl_Transactions[Amount],tbl_Transactions[VendorID],A60,tbl_Transactions[Direction],"Out",tbl_Transactions[Date],"&gt;="&amp;$B$8,tbl_Transactions[Date],"&lt;"&amp;EDATE($B$8,1)))</f>
        <v/>
      </c>
    </row>
    <row r="61" spans="1:3" ht="15" customHeight="1">
      <c r="A61" t="str">
        <f>IFERROR(INDEX(tbl_Vendors[VendorID],3),"")</f>
        <v/>
      </c>
      <c r="B61" t="str">
        <f>IFERROR(INDEX(tbl_Vendors[VendorName],3),"")</f>
        <v/>
      </c>
      <c r="C61" t="str">
        <f>IF(A61="","",SUMIFS(tbl_Transactions[Amount],tbl_Transactions[VendorID],A61,tbl_Transactions[Direction],"Out",tbl_Transactions[Date],"&gt;="&amp;$B$8,tbl_Transactions[Date],"&lt;"&amp;EDATE($B$8,1)))</f>
        <v/>
      </c>
    </row>
    <row r="62" spans="1:3" ht="15" customHeight="1">
      <c r="A62" t="str">
        <f>IFERROR(INDEX(tbl_Vendors[VendorID],4),"")</f>
        <v/>
      </c>
      <c r="B62" t="str">
        <f>IFERROR(INDEX(tbl_Vendors[VendorName],4),"")</f>
        <v/>
      </c>
      <c r="C62" t="str">
        <f>IF(A62="","",SUMIFS(tbl_Transactions[Amount],tbl_Transactions[VendorID],A62,tbl_Transactions[Direction],"Out",tbl_Transactions[Date],"&gt;="&amp;$B$8,tbl_Transactions[Date],"&lt;"&amp;EDATE($B$8,1)))</f>
        <v/>
      </c>
    </row>
    <row r="63" spans="1:3" ht="15" customHeight="1">
      <c r="A63" t="str">
        <f>IFERROR(INDEX(tbl_Vendors[VendorID],5),"")</f>
        <v/>
      </c>
      <c r="B63" t="str">
        <f>IFERROR(INDEX(tbl_Vendors[VendorName],5),"")</f>
        <v/>
      </c>
      <c r="C63" t="str">
        <f>IF(A63="","",SUMIFS(tbl_Transactions[Amount],tbl_Transactions[VendorID],A63,tbl_Transactions[Direction],"Out",tbl_Transactions[Date],"&gt;="&amp;$B$8,tbl_Transactions[Date],"&lt;"&amp;EDATE($B$8,1)))</f>
        <v/>
      </c>
    </row>
    <row r="64" spans="1:3" ht="15" customHeight="1">
      <c r="A64" t="str">
        <f>IFERROR(INDEX(tbl_Vendors[VendorID],6),"")</f>
        <v/>
      </c>
      <c r="B64" t="str">
        <f>IFERROR(INDEX(tbl_Vendors[VendorName],6),"")</f>
        <v/>
      </c>
      <c r="C64" t="str">
        <f>IF(A64="","",SUMIFS(tbl_Transactions[Amount],tbl_Transactions[VendorID],A64,tbl_Transactions[Direction],"Out",tbl_Transactions[Date],"&gt;="&amp;$B$8,tbl_Transactions[Date],"&lt;"&amp;EDATE($B$8,1)))</f>
        <v/>
      </c>
    </row>
    <row r="65" spans="1:3" ht="15" customHeight="1">
      <c r="A65" t="str">
        <f>IFERROR(INDEX(tbl_Vendors[VendorID],7),"")</f>
        <v/>
      </c>
      <c r="B65" t="str">
        <f>IFERROR(INDEX(tbl_Vendors[VendorName],7),"")</f>
        <v/>
      </c>
      <c r="C65" t="str">
        <f>IF(A65="","",SUMIFS(tbl_Transactions[Amount],tbl_Transactions[VendorID],A65,tbl_Transactions[Direction],"Out",tbl_Transactions[Date],"&gt;="&amp;$B$8,tbl_Transactions[Date],"&lt;"&amp;EDATE($B$8,1)))</f>
        <v/>
      </c>
    </row>
    <row r="66" spans="1:3" ht="15" customHeight="1">
      <c r="A66" t="str">
        <f>IFERROR(INDEX(tbl_Vendors[VendorID],8),"")</f>
        <v/>
      </c>
      <c r="B66" t="str">
        <f>IFERROR(INDEX(tbl_Vendors[VendorName],8),"")</f>
        <v/>
      </c>
      <c r="C66" t="str">
        <f>IF(A66="","",SUMIFS(tbl_Transactions[Amount],tbl_Transactions[VendorID],A66,tbl_Transactions[Direction],"Out",tbl_Transactions[Date],"&gt;="&amp;$B$8,tbl_Transactions[Date],"&lt;"&amp;EDATE($B$8,1)))</f>
        <v/>
      </c>
    </row>
    <row r="67" spans="1:3" ht="15" customHeight="1">
      <c r="A67" t="str">
        <f>IFERROR(INDEX(tbl_Vendors[VendorID],9),"")</f>
        <v/>
      </c>
      <c r="B67" t="str">
        <f>IFERROR(INDEX(tbl_Vendors[VendorName],9),"")</f>
        <v/>
      </c>
      <c r="C67" t="str">
        <f>IF(A67="","",SUMIFS(tbl_Transactions[Amount],tbl_Transactions[VendorID],A67,tbl_Transactions[Direction],"Out",tbl_Transactions[Date],"&gt;="&amp;$B$8,tbl_Transactions[Date],"&lt;"&amp;EDATE($B$8,1)))</f>
        <v/>
      </c>
    </row>
    <row r="68" spans="1:3" ht="15" customHeight="1">
      <c r="A68" t="str">
        <f>IFERROR(INDEX(tbl_Vendors[VendorID],10),"")</f>
        <v/>
      </c>
      <c r="B68" t="str">
        <f>IFERROR(INDEX(tbl_Vendors[VendorName],10),"")</f>
        <v/>
      </c>
      <c r="C68" t="str">
        <f>IF(A68="","",SUMIFS(tbl_Transactions[Amount],tbl_Transactions[VendorID],A68,tbl_Transactions[Direction],"Out",tbl_Transactions[Date],"&gt;="&amp;$B$8,tbl_Transactions[Date],"&lt;"&amp;EDATE($B$8,1)))</f>
        <v/>
      </c>
    </row>
    <row r="70" spans="1:3" ht="15" customHeight="1">
      <c r="A70" s="20" t="s">
        <v>337</v>
      </c>
      <c r="B70" s="20" t="str">
        <f ca="1">IFERROR(INDEX($B$36:$B$55,MATCH(MAX($C$36:$C$55),$C$36:$C$55,0)),"")</f>
        <v>Supplies</v>
      </c>
    </row>
    <row r="71" spans="1:3" ht="15" customHeight="1">
      <c r="A71" s="20" t="s">
        <v>338</v>
      </c>
      <c r="B71" s="39">
        <f ca="1">IFERROR(MAX($C$36:$C$55),0)</f>
        <v>165</v>
      </c>
    </row>
    <row r="72" spans="1:3" ht="15" customHeight="1">
      <c r="A72" s="20" t="s">
        <v>339</v>
      </c>
      <c r="B72" s="20" t="str">
        <f ca="1">IFERROR(INDEX($B$59:$B$68,MATCH(MAX($C$59:$C$68),$C$59:$C$68,0)),"")</f>
        <v>City Wholesale Supplies</v>
      </c>
    </row>
    <row r="73" spans="1:3" ht="15" customHeight="1">
      <c r="A73" s="20" t="s">
        <v>340</v>
      </c>
      <c r="B73" s="39">
        <f ca="1">IFERROR(MAX($C$59:$C$68),0)</f>
        <v>165</v>
      </c>
    </row>
    <row r="74" spans="1:3" ht="15" customHeight="1">
      <c r="A74" s="20" t="s">
        <v>341</v>
      </c>
      <c r="B74" s="20" t="str">
        <f>IFERROR(INDEX(tbl_Goals[GoalName],MATCH("Active",tbl_Goals[Status],0)),"")</f>
        <v>Emergency Fund</v>
      </c>
    </row>
    <row r="75" spans="1:3" ht="15" customHeight="1">
      <c r="A75" s="20" t="s">
        <v>342</v>
      </c>
      <c r="B75" s="39">
        <f>IFERROR(INDEX(tbl_Goals[TargetAmount],MATCH("Active",tbl_Goals[Status],0)),0)</f>
        <v>9000</v>
      </c>
    </row>
    <row r="76" spans="1:3" ht="15" customHeight="1">
      <c r="A76" s="20" t="s">
        <v>343</v>
      </c>
      <c r="B76" s="39">
        <f>IFERROR(INDEX(tbl_Goals[CurrentAmount],MATCH("Active",tbl_Goals[Status],0)),0)</f>
        <v>5580</v>
      </c>
    </row>
    <row r="77" spans="1:3" ht="15" customHeight="1">
      <c r="A77" s="20" t="s">
        <v>344</v>
      </c>
      <c r="B77" s="32">
        <f>IFERROR(B76/B75,0)</f>
        <v>0.62</v>
      </c>
    </row>
  </sheetData>
  <sheetProtection sheet="1"/>
  <mergeCells count="5">
    <mergeCell ref="A12:H12"/>
    <mergeCell ref="A21:B21"/>
    <mergeCell ref="A26:H26"/>
    <mergeCell ref="A2:B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01"/>
  <sheetViews>
    <sheetView showRowColHeaders="0" zoomScaleNormal="100" workbookViewId="0"/>
  </sheetViews>
  <sheetFormatPr defaultColWidth="8.7109375" defaultRowHeight="15"/>
  <cols>
    <col min="1" max="16" width="20" style="18" customWidth="1"/>
  </cols>
  <sheetData>
    <row r="1" spans="1:21" ht="15" customHeight="1">
      <c r="A1" s="17" t="s">
        <v>18</v>
      </c>
      <c r="B1" s="17" t="s">
        <v>16</v>
      </c>
      <c r="C1" s="17" t="s">
        <v>345</v>
      </c>
      <c r="D1" s="17" t="s">
        <v>346</v>
      </c>
      <c r="E1" s="17" t="s">
        <v>191</v>
      </c>
      <c r="F1" s="17" t="s">
        <v>25</v>
      </c>
      <c r="G1" s="17" t="s">
        <v>347</v>
      </c>
      <c r="H1" s="17" t="s">
        <v>199</v>
      </c>
      <c r="I1" s="17" t="s">
        <v>348</v>
      </c>
      <c r="J1" s="17" t="s">
        <v>349</v>
      </c>
      <c r="K1" s="17" t="s">
        <v>350</v>
      </c>
      <c r="L1" s="17" t="s">
        <v>351</v>
      </c>
      <c r="M1" s="17" t="s">
        <v>80</v>
      </c>
      <c r="N1" s="17" t="s">
        <v>352</v>
      </c>
      <c r="O1" s="17" t="s">
        <v>103</v>
      </c>
      <c r="P1" s="17" t="s">
        <v>353</v>
      </c>
      <c r="R1" s="17" t="s">
        <v>354</v>
      </c>
      <c r="T1" s="17" t="s">
        <v>355</v>
      </c>
      <c r="U1" s="17" t="s">
        <v>356</v>
      </c>
    </row>
    <row r="2" spans="1:21" ht="15" customHeight="1">
      <c r="A2" t="s">
        <v>19</v>
      </c>
      <c r="B2" t="s">
        <v>17</v>
      </c>
      <c r="C2" t="s">
        <v>21</v>
      </c>
      <c r="D2" t="s">
        <v>35</v>
      </c>
      <c r="E2" t="s">
        <v>23</v>
      </c>
      <c r="F2" t="s">
        <v>26</v>
      </c>
      <c r="G2" t="s">
        <v>33</v>
      </c>
      <c r="H2" t="s">
        <v>37</v>
      </c>
      <c r="I2" t="s">
        <v>46</v>
      </c>
      <c r="J2" t="s">
        <v>46</v>
      </c>
      <c r="K2" t="s">
        <v>357</v>
      </c>
      <c r="L2" t="s">
        <v>168</v>
      </c>
      <c r="M2" t="s">
        <v>358</v>
      </c>
      <c r="N2" t="s">
        <v>359</v>
      </c>
      <c r="O2" t="s">
        <v>183</v>
      </c>
      <c r="P2" t="s">
        <v>109</v>
      </c>
      <c r="R2" t="str">
        <f>IFERROR(IF(ROWS($R$2:R2)&lt;=ROWS(tbl_Vendors[VendorName]),INDEX(tbl_Vendors[VendorName],ROWS($R$2:R2)),INDEX(tbl_Customers[CustomerName],ROWS($R$2:R2)-ROWS(tbl_Vendors[VendorName]))),"")</f>
        <v>City Wholesale Supplies</v>
      </c>
      <c r="T2" t="s">
        <v>19</v>
      </c>
      <c r="U2" t="s">
        <v>360</v>
      </c>
    </row>
    <row r="3" spans="1:21" ht="15" customHeight="1">
      <c r="A3" t="s">
        <v>361</v>
      </c>
      <c r="B3" t="s">
        <v>362</v>
      </c>
      <c r="C3" t="s">
        <v>363</v>
      </c>
      <c r="D3" t="s">
        <v>364</v>
      </c>
      <c r="E3" t="s">
        <v>365</v>
      </c>
      <c r="G3" t="s">
        <v>366</v>
      </c>
      <c r="H3" t="s">
        <v>367</v>
      </c>
      <c r="I3" t="s">
        <v>112</v>
      </c>
      <c r="J3" t="s">
        <v>112</v>
      </c>
      <c r="K3" t="s">
        <v>368</v>
      </c>
      <c r="L3" t="s">
        <v>369</v>
      </c>
      <c r="M3" t="s">
        <v>167</v>
      </c>
      <c r="N3" t="s">
        <v>179</v>
      </c>
      <c r="O3" t="s">
        <v>370</v>
      </c>
      <c r="P3" t="s">
        <v>371</v>
      </c>
      <c r="R3" t="str">
        <f>IFERROR(IF(ROWS($R$2:R3)&lt;=ROWS(tbl_Vendors[VendorName]),INDEX(tbl_Vendors[VendorName],ROWS($R$2:R3)),INDEX(tbl_Customers[CustomerName],ROWS($R$2:R3)-ROWS(tbl_Vendors[VendorName]))),"")</f>
        <v>Blue Harbor Cafe</v>
      </c>
      <c r="T3" t="s">
        <v>361</v>
      </c>
      <c r="U3" t="s">
        <v>372</v>
      </c>
    </row>
    <row r="4" spans="1:21" ht="15" customHeight="1">
      <c r="A4" t="s">
        <v>373</v>
      </c>
      <c r="B4" t="s">
        <v>374</v>
      </c>
      <c r="C4" t="s">
        <v>375</v>
      </c>
      <c r="E4" t="s">
        <v>376</v>
      </c>
      <c r="J4" t="s">
        <v>377</v>
      </c>
      <c r="L4" t="s">
        <v>172</v>
      </c>
      <c r="M4" t="s">
        <v>378</v>
      </c>
      <c r="N4" t="s">
        <v>369</v>
      </c>
      <c r="O4" t="s">
        <v>379</v>
      </c>
      <c r="P4" t="s">
        <v>380</v>
      </c>
      <c r="R4" t="str">
        <f>IFERROR(IF(ROWS($R$2:R4)&lt;=ROWS(tbl_Vendors[VendorName]),INDEX(tbl_Vendors[VendorName],ROWS($R$2:R4)),INDEX(tbl_Customers[CustomerName],ROWS($R$2:R4)-ROWS(tbl_Vendors[VendorName]))),"")</f>
        <v/>
      </c>
      <c r="T4" t="s">
        <v>373</v>
      </c>
      <c r="U4" t="s">
        <v>381</v>
      </c>
    </row>
    <row r="5" spans="1:21" ht="15" customHeight="1">
      <c r="A5" t="s">
        <v>382</v>
      </c>
      <c r="B5" t="s">
        <v>383</v>
      </c>
      <c r="C5" t="s">
        <v>384</v>
      </c>
      <c r="E5" t="s">
        <v>385</v>
      </c>
      <c r="M5" t="s">
        <v>386</v>
      </c>
      <c r="N5" t="s">
        <v>172</v>
      </c>
      <c r="R5" t="str">
        <f>IFERROR(IF(ROWS($R$2:R5)&lt;=ROWS(tbl_Vendors[VendorName]),INDEX(tbl_Vendors[VendorName],ROWS($R$2:R5)),INDEX(tbl_Customers[CustomerName],ROWS($R$2:R5)-ROWS(tbl_Vendors[VendorName]))),"")</f>
        <v/>
      </c>
      <c r="T5" t="s">
        <v>382</v>
      </c>
      <c r="U5" t="s">
        <v>360</v>
      </c>
    </row>
    <row r="6" spans="1:21" ht="15" customHeight="1">
      <c r="A6" t="s">
        <v>387</v>
      </c>
      <c r="C6" t="s">
        <v>388</v>
      </c>
      <c r="E6" t="s">
        <v>389</v>
      </c>
      <c r="M6" t="s">
        <v>171</v>
      </c>
      <c r="N6" t="s">
        <v>390</v>
      </c>
      <c r="R6" t="str">
        <f>IFERROR(IF(ROWS($R$2:R6)&lt;=ROWS(tbl_Vendors[VendorName]),INDEX(tbl_Vendors[VendorName],ROWS($R$2:R6)),INDEX(tbl_Customers[CustomerName],ROWS($R$2:R6)-ROWS(tbl_Vendors[VendorName]))),"")</f>
        <v/>
      </c>
      <c r="T6" t="s">
        <v>387</v>
      </c>
      <c r="U6" t="s">
        <v>360</v>
      </c>
    </row>
    <row r="7" spans="1:21" ht="15" customHeight="1">
      <c r="A7" t="s">
        <v>391</v>
      </c>
      <c r="C7" t="s">
        <v>392</v>
      </c>
      <c r="R7" t="str">
        <f>IFERROR(IF(ROWS($R$2:R7)&lt;=ROWS(tbl_Vendors[VendorName]),INDEX(tbl_Vendors[VendorName],ROWS($R$2:R7)),INDEX(tbl_Customers[CustomerName],ROWS($R$2:R7)-ROWS(tbl_Vendors[VendorName]))),"")</f>
        <v/>
      </c>
      <c r="T7" t="s">
        <v>391</v>
      </c>
      <c r="U7" t="s">
        <v>393</v>
      </c>
    </row>
    <row r="8" spans="1:21" ht="15" customHeight="1">
      <c r="C8" t="s">
        <v>394</v>
      </c>
      <c r="R8" t="str">
        <f>IFERROR(IF(ROWS($R$2:R8)&lt;=ROWS(tbl_Vendors[VendorName]),INDEX(tbl_Vendors[VendorName],ROWS($R$2:R8)),INDEX(tbl_Customers[CustomerName],ROWS($R$2:R8)-ROWS(tbl_Vendors[VendorName]))),"")</f>
        <v/>
      </c>
    </row>
    <row r="9" spans="1:21" ht="15" customHeight="1">
      <c r="C9" t="s">
        <v>395</v>
      </c>
      <c r="R9" t="str">
        <f>IFERROR(IF(ROWS($R$2:R9)&lt;=ROWS(tbl_Vendors[VendorName]),INDEX(tbl_Vendors[VendorName],ROWS($R$2:R9)),INDEX(tbl_Customers[CustomerName],ROWS($R$2:R9)-ROWS(tbl_Vendors[VendorName]))),"")</f>
        <v/>
      </c>
    </row>
    <row r="10" spans="1:21" ht="15" customHeight="1">
      <c r="C10" t="s">
        <v>396</v>
      </c>
      <c r="R10" t="str">
        <f>IFERROR(IF(ROWS($R$2:R10)&lt;=ROWS(tbl_Vendors[VendorName]),INDEX(tbl_Vendors[VendorName],ROWS($R$2:R10)),INDEX(tbl_Customers[CustomerName],ROWS($R$2:R10)-ROWS(tbl_Vendors[VendorName]))),"")</f>
        <v/>
      </c>
    </row>
    <row r="11" spans="1:21" ht="15" customHeight="1">
      <c r="C11" t="s">
        <v>397</v>
      </c>
      <c r="R11" t="str">
        <f>IFERROR(IF(ROWS($R$2:R11)&lt;=ROWS(tbl_Vendors[VendorName]),INDEX(tbl_Vendors[VendorName],ROWS($R$2:R11)),INDEX(tbl_Customers[CustomerName],ROWS($R$2:R11)-ROWS(tbl_Vendors[VendorName]))),"")</f>
        <v/>
      </c>
    </row>
    <row r="12" spans="1:21" ht="15" customHeight="1">
      <c r="C12" t="s">
        <v>398</v>
      </c>
      <c r="R12" t="str">
        <f>IFERROR(IF(ROWS($R$2:R12)&lt;=ROWS(tbl_Vendors[VendorName]),INDEX(tbl_Vendors[VendorName],ROWS($R$2:R12)),INDEX(tbl_Customers[CustomerName],ROWS($R$2:R12)-ROWS(tbl_Vendors[VendorName]))),"")</f>
        <v/>
      </c>
    </row>
    <row r="13" spans="1:21" ht="15" customHeight="1">
      <c r="C13" t="s">
        <v>399</v>
      </c>
      <c r="R13" t="str">
        <f>IFERROR(IF(ROWS($R$2:R13)&lt;=ROWS(tbl_Vendors[VendorName]),INDEX(tbl_Vendors[VendorName],ROWS($R$2:R13)),INDEX(tbl_Customers[CustomerName],ROWS($R$2:R13)-ROWS(tbl_Vendors[VendorName]))),"")</f>
        <v/>
      </c>
    </row>
    <row r="14" spans="1:21">
      <c r="R14" t="str">
        <f>IFERROR(IF(ROWS($R$2:R14)&lt;=ROWS(tbl_Vendors[VendorName]),INDEX(tbl_Vendors[VendorName],ROWS($R$2:R14)),INDEX(tbl_Customers[CustomerName],ROWS($R$2:R14)-ROWS(tbl_Vendors[VendorName]))),"")</f>
        <v/>
      </c>
    </row>
    <row r="15" spans="1:21">
      <c r="R15" t="str">
        <f>IFERROR(IF(ROWS($R$2:R15)&lt;=ROWS(tbl_Vendors[VendorName]),INDEX(tbl_Vendors[VendorName],ROWS($R$2:R15)),INDEX(tbl_Customers[CustomerName],ROWS($R$2:R15)-ROWS(tbl_Vendors[VendorName]))),"")</f>
        <v/>
      </c>
    </row>
    <row r="16" spans="1:21">
      <c r="R16" t="str">
        <f>IFERROR(IF(ROWS($R$2:R16)&lt;=ROWS(tbl_Vendors[VendorName]),INDEX(tbl_Vendors[VendorName],ROWS($R$2:R16)),INDEX(tbl_Customers[CustomerName],ROWS($R$2:R16)-ROWS(tbl_Vendors[VendorName]))),"")</f>
        <v/>
      </c>
    </row>
    <row r="17" spans="18:18">
      <c r="R17" t="str">
        <f>IFERROR(IF(ROWS($R$2:R17)&lt;=ROWS(tbl_Vendors[VendorName]),INDEX(tbl_Vendors[VendorName],ROWS($R$2:R17)),INDEX(tbl_Customers[CustomerName],ROWS($R$2:R17)-ROWS(tbl_Vendors[VendorName]))),"")</f>
        <v/>
      </c>
    </row>
    <row r="18" spans="18:18">
      <c r="R18" t="str">
        <f>IFERROR(IF(ROWS($R$2:R18)&lt;=ROWS(tbl_Vendors[VendorName]),INDEX(tbl_Vendors[VendorName],ROWS($R$2:R18)),INDEX(tbl_Customers[CustomerName],ROWS($R$2:R18)-ROWS(tbl_Vendors[VendorName]))),"")</f>
        <v/>
      </c>
    </row>
    <row r="19" spans="18:18">
      <c r="R19" t="str">
        <f>IFERROR(IF(ROWS($R$2:R19)&lt;=ROWS(tbl_Vendors[VendorName]),INDEX(tbl_Vendors[VendorName],ROWS($R$2:R19)),INDEX(tbl_Customers[CustomerName],ROWS($R$2:R19)-ROWS(tbl_Vendors[VendorName]))),"")</f>
        <v/>
      </c>
    </row>
    <row r="20" spans="18:18">
      <c r="R20" t="str">
        <f>IFERROR(IF(ROWS($R$2:R20)&lt;=ROWS(tbl_Vendors[VendorName]),INDEX(tbl_Vendors[VendorName],ROWS($R$2:R20)),INDEX(tbl_Customers[CustomerName],ROWS($R$2:R20)-ROWS(tbl_Vendors[VendorName]))),"")</f>
        <v/>
      </c>
    </row>
    <row r="21" spans="18:18">
      <c r="R21" t="str">
        <f>IFERROR(IF(ROWS($R$2:R21)&lt;=ROWS(tbl_Vendors[VendorName]),INDEX(tbl_Vendors[VendorName],ROWS($R$2:R21)),INDEX(tbl_Customers[CustomerName],ROWS($R$2:R21)-ROWS(tbl_Vendors[VendorName]))),"")</f>
        <v/>
      </c>
    </row>
    <row r="22" spans="18:18">
      <c r="R22" t="str">
        <f>IFERROR(IF(ROWS($R$2:R22)&lt;=ROWS(tbl_Vendors[VendorName]),INDEX(tbl_Vendors[VendorName],ROWS($R$2:R22)),INDEX(tbl_Customers[CustomerName],ROWS($R$2:R22)-ROWS(tbl_Vendors[VendorName]))),"")</f>
        <v/>
      </c>
    </row>
    <row r="23" spans="18:18">
      <c r="R23" t="str">
        <f>IFERROR(IF(ROWS($R$2:R23)&lt;=ROWS(tbl_Vendors[VendorName]),INDEX(tbl_Vendors[VendorName],ROWS($R$2:R23)),INDEX(tbl_Customers[CustomerName],ROWS($R$2:R23)-ROWS(tbl_Vendors[VendorName]))),"")</f>
        <v/>
      </c>
    </row>
    <row r="24" spans="18:18">
      <c r="R24" t="str">
        <f>IFERROR(IF(ROWS($R$2:R24)&lt;=ROWS(tbl_Vendors[VendorName]),INDEX(tbl_Vendors[VendorName],ROWS($R$2:R24)),INDEX(tbl_Customers[CustomerName],ROWS($R$2:R24)-ROWS(tbl_Vendors[VendorName]))),"")</f>
        <v/>
      </c>
    </row>
    <row r="25" spans="18:18">
      <c r="R25" t="str">
        <f>IFERROR(IF(ROWS($R$2:R25)&lt;=ROWS(tbl_Vendors[VendorName]),INDEX(tbl_Vendors[VendorName],ROWS($R$2:R25)),INDEX(tbl_Customers[CustomerName],ROWS($R$2:R25)-ROWS(tbl_Vendors[VendorName]))),"")</f>
        <v/>
      </c>
    </row>
    <row r="26" spans="18:18">
      <c r="R26" t="str">
        <f>IFERROR(IF(ROWS($R$2:R26)&lt;=ROWS(tbl_Vendors[VendorName]),INDEX(tbl_Vendors[VendorName],ROWS($R$2:R26)),INDEX(tbl_Customers[CustomerName],ROWS($R$2:R26)-ROWS(tbl_Vendors[VendorName]))),"")</f>
        <v/>
      </c>
    </row>
    <row r="27" spans="18:18">
      <c r="R27" t="str">
        <f>IFERROR(IF(ROWS($R$2:R27)&lt;=ROWS(tbl_Vendors[VendorName]),INDEX(tbl_Vendors[VendorName],ROWS($R$2:R27)),INDEX(tbl_Customers[CustomerName],ROWS($R$2:R27)-ROWS(tbl_Vendors[VendorName]))),"")</f>
        <v/>
      </c>
    </row>
    <row r="28" spans="18:18">
      <c r="R28" t="str">
        <f>IFERROR(IF(ROWS($R$2:R28)&lt;=ROWS(tbl_Vendors[VendorName]),INDEX(tbl_Vendors[VendorName],ROWS($R$2:R28)),INDEX(tbl_Customers[CustomerName],ROWS($R$2:R28)-ROWS(tbl_Vendors[VendorName]))),"")</f>
        <v/>
      </c>
    </row>
    <row r="29" spans="18:18">
      <c r="R29" t="str">
        <f>IFERROR(IF(ROWS($R$2:R29)&lt;=ROWS(tbl_Vendors[VendorName]),INDEX(tbl_Vendors[VendorName],ROWS($R$2:R29)),INDEX(tbl_Customers[CustomerName],ROWS($R$2:R29)-ROWS(tbl_Vendors[VendorName]))),"")</f>
        <v/>
      </c>
    </row>
    <row r="30" spans="18:18">
      <c r="R30" t="str">
        <f>IFERROR(IF(ROWS($R$2:R30)&lt;=ROWS(tbl_Vendors[VendorName]),INDEX(tbl_Vendors[VendorName],ROWS($R$2:R30)),INDEX(tbl_Customers[CustomerName],ROWS($R$2:R30)-ROWS(tbl_Vendors[VendorName]))),"")</f>
        <v/>
      </c>
    </row>
    <row r="31" spans="18:18">
      <c r="R31" t="str">
        <f>IFERROR(IF(ROWS($R$2:R31)&lt;=ROWS(tbl_Vendors[VendorName]),INDEX(tbl_Vendors[VendorName],ROWS($R$2:R31)),INDEX(tbl_Customers[CustomerName],ROWS($R$2:R31)-ROWS(tbl_Vendors[VendorName]))),"")</f>
        <v/>
      </c>
    </row>
    <row r="32" spans="18:18">
      <c r="R32" t="str">
        <f>IFERROR(IF(ROWS($R$2:R32)&lt;=ROWS(tbl_Vendors[VendorName]),INDEX(tbl_Vendors[VendorName],ROWS($R$2:R32)),INDEX(tbl_Customers[CustomerName],ROWS($R$2:R32)-ROWS(tbl_Vendors[VendorName]))),"")</f>
        <v/>
      </c>
    </row>
    <row r="33" spans="18:18">
      <c r="R33" t="str">
        <f>IFERROR(IF(ROWS($R$2:R33)&lt;=ROWS(tbl_Vendors[VendorName]),INDEX(tbl_Vendors[VendorName],ROWS($R$2:R33)),INDEX(tbl_Customers[CustomerName],ROWS($R$2:R33)-ROWS(tbl_Vendors[VendorName]))),"")</f>
        <v/>
      </c>
    </row>
    <row r="34" spans="18:18">
      <c r="R34" t="str">
        <f>IFERROR(IF(ROWS($R$2:R34)&lt;=ROWS(tbl_Vendors[VendorName]),INDEX(tbl_Vendors[VendorName],ROWS($R$2:R34)),INDEX(tbl_Customers[CustomerName],ROWS($R$2:R34)-ROWS(tbl_Vendors[VendorName]))),"")</f>
        <v/>
      </c>
    </row>
    <row r="35" spans="18:18">
      <c r="R35" t="str">
        <f>IFERROR(IF(ROWS($R$2:R35)&lt;=ROWS(tbl_Vendors[VendorName]),INDEX(tbl_Vendors[VendorName],ROWS($R$2:R35)),INDEX(tbl_Customers[CustomerName],ROWS($R$2:R35)-ROWS(tbl_Vendors[VendorName]))),"")</f>
        <v/>
      </c>
    </row>
    <row r="36" spans="18:18">
      <c r="R36" t="str">
        <f>IFERROR(IF(ROWS($R$2:R36)&lt;=ROWS(tbl_Vendors[VendorName]),INDEX(tbl_Vendors[VendorName],ROWS($R$2:R36)),INDEX(tbl_Customers[CustomerName],ROWS($R$2:R36)-ROWS(tbl_Vendors[VendorName]))),"")</f>
        <v/>
      </c>
    </row>
    <row r="37" spans="18:18">
      <c r="R37" t="str">
        <f>IFERROR(IF(ROWS($R$2:R37)&lt;=ROWS(tbl_Vendors[VendorName]),INDEX(tbl_Vendors[VendorName],ROWS($R$2:R37)),INDEX(tbl_Customers[CustomerName],ROWS($R$2:R37)-ROWS(tbl_Vendors[VendorName]))),"")</f>
        <v/>
      </c>
    </row>
    <row r="38" spans="18:18">
      <c r="R38" t="str">
        <f>IFERROR(IF(ROWS($R$2:R38)&lt;=ROWS(tbl_Vendors[VendorName]),INDEX(tbl_Vendors[VendorName],ROWS($R$2:R38)),INDEX(tbl_Customers[CustomerName],ROWS($R$2:R38)-ROWS(tbl_Vendors[VendorName]))),"")</f>
        <v/>
      </c>
    </row>
    <row r="39" spans="18:18">
      <c r="R39" t="str">
        <f>IFERROR(IF(ROWS($R$2:R39)&lt;=ROWS(tbl_Vendors[VendorName]),INDEX(tbl_Vendors[VendorName],ROWS($R$2:R39)),INDEX(tbl_Customers[CustomerName],ROWS($R$2:R39)-ROWS(tbl_Vendors[VendorName]))),"")</f>
        <v/>
      </c>
    </row>
    <row r="40" spans="18:18">
      <c r="R40" t="str">
        <f>IFERROR(IF(ROWS($R$2:R40)&lt;=ROWS(tbl_Vendors[VendorName]),INDEX(tbl_Vendors[VendorName],ROWS($R$2:R40)),INDEX(tbl_Customers[CustomerName],ROWS($R$2:R40)-ROWS(tbl_Vendors[VendorName]))),"")</f>
        <v/>
      </c>
    </row>
    <row r="41" spans="18:18">
      <c r="R41" t="str">
        <f>IFERROR(IF(ROWS($R$2:R41)&lt;=ROWS(tbl_Vendors[VendorName]),INDEX(tbl_Vendors[VendorName],ROWS($R$2:R41)),INDEX(tbl_Customers[CustomerName],ROWS($R$2:R41)-ROWS(tbl_Vendors[VendorName]))),"")</f>
        <v/>
      </c>
    </row>
    <row r="42" spans="18:18">
      <c r="R42" t="str">
        <f>IFERROR(IF(ROWS($R$2:R42)&lt;=ROWS(tbl_Vendors[VendorName]),INDEX(tbl_Vendors[VendorName],ROWS($R$2:R42)),INDEX(tbl_Customers[CustomerName],ROWS($R$2:R42)-ROWS(tbl_Vendors[VendorName]))),"")</f>
        <v/>
      </c>
    </row>
    <row r="43" spans="18:18">
      <c r="R43" t="str">
        <f>IFERROR(IF(ROWS($R$2:R43)&lt;=ROWS(tbl_Vendors[VendorName]),INDEX(tbl_Vendors[VendorName],ROWS($R$2:R43)),INDEX(tbl_Customers[CustomerName],ROWS($R$2:R43)-ROWS(tbl_Vendors[VendorName]))),"")</f>
        <v/>
      </c>
    </row>
    <row r="44" spans="18:18">
      <c r="R44" t="str">
        <f>IFERROR(IF(ROWS($R$2:R44)&lt;=ROWS(tbl_Vendors[VendorName]),INDEX(tbl_Vendors[VendorName],ROWS($R$2:R44)),INDEX(tbl_Customers[CustomerName],ROWS($R$2:R44)-ROWS(tbl_Vendors[VendorName]))),"")</f>
        <v/>
      </c>
    </row>
    <row r="45" spans="18:18">
      <c r="R45" t="str">
        <f>IFERROR(IF(ROWS($R$2:R45)&lt;=ROWS(tbl_Vendors[VendorName]),INDEX(tbl_Vendors[VendorName],ROWS($R$2:R45)),INDEX(tbl_Customers[CustomerName],ROWS($R$2:R45)-ROWS(tbl_Vendors[VendorName]))),"")</f>
        <v/>
      </c>
    </row>
    <row r="46" spans="18:18">
      <c r="R46" t="str">
        <f>IFERROR(IF(ROWS($R$2:R46)&lt;=ROWS(tbl_Vendors[VendorName]),INDEX(tbl_Vendors[VendorName],ROWS($R$2:R46)),INDEX(tbl_Customers[CustomerName],ROWS($R$2:R46)-ROWS(tbl_Vendors[VendorName]))),"")</f>
        <v/>
      </c>
    </row>
    <row r="47" spans="18:18">
      <c r="R47" t="str">
        <f>IFERROR(IF(ROWS($R$2:R47)&lt;=ROWS(tbl_Vendors[VendorName]),INDEX(tbl_Vendors[VendorName],ROWS($R$2:R47)),INDEX(tbl_Customers[CustomerName],ROWS($R$2:R47)-ROWS(tbl_Vendors[VendorName]))),"")</f>
        <v/>
      </c>
    </row>
    <row r="48" spans="18:18">
      <c r="R48" t="str">
        <f>IFERROR(IF(ROWS($R$2:R48)&lt;=ROWS(tbl_Vendors[VendorName]),INDEX(tbl_Vendors[VendorName],ROWS($R$2:R48)),INDEX(tbl_Customers[CustomerName],ROWS($R$2:R48)-ROWS(tbl_Vendors[VendorName]))),"")</f>
        <v/>
      </c>
    </row>
    <row r="49" spans="18:18">
      <c r="R49" t="str">
        <f>IFERROR(IF(ROWS($R$2:R49)&lt;=ROWS(tbl_Vendors[VendorName]),INDEX(tbl_Vendors[VendorName],ROWS($R$2:R49)),INDEX(tbl_Customers[CustomerName],ROWS($R$2:R49)-ROWS(tbl_Vendors[VendorName]))),"")</f>
        <v/>
      </c>
    </row>
    <row r="50" spans="18:18">
      <c r="R50" t="str">
        <f>IFERROR(IF(ROWS($R$2:R50)&lt;=ROWS(tbl_Vendors[VendorName]),INDEX(tbl_Vendors[VendorName],ROWS($R$2:R50)),INDEX(tbl_Customers[CustomerName],ROWS($R$2:R50)-ROWS(tbl_Vendors[VendorName]))),"")</f>
        <v/>
      </c>
    </row>
    <row r="51" spans="18:18">
      <c r="R51" t="str">
        <f>IFERROR(IF(ROWS($R$2:R51)&lt;=ROWS(tbl_Vendors[VendorName]),INDEX(tbl_Vendors[VendorName],ROWS($R$2:R51)),INDEX(tbl_Customers[CustomerName],ROWS($R$2:R51)-ROWS(tbl_Vendors[VendorName]))),"")</f>
        <v/>
      </c>
    </row>
    <row r="52" spans="18:18">
      <c r="R52" t="str">
        <f>IFERROR(IF(ROWS($R$2:R52)&lt;=ROWS(tbl_Vendors[VendorName]),INDEX(tbl_Vendors[VendorName],ROWS($R$2:R52)),INDEX(tbl_Customers[CustomerName],ROWS($R$2:R52)-ROWS(tbl_Vendors[VendorName]))),"")</f>
        <v/>
      </c>
    </row>
    <row r="53" spans="18:18">
      <c r="R53" t="str">
        <f>IFERROR(IF(ROWS($R$2:R53)&lt;=ROWS(tbl_Vendors[VendorName]),INDEX(tbl_Vendors[VendorName],ROWS($R$2:R53)),INDEX(tbl_Customers[CustomerName],ROWS($R$2:R53)-ROWS(tbl_Vendors[VendorName]))),"")</f>
        <v/>
      </c>
    </row>
    <row r="54" spans="18:18">
      <c r="R54" t="str">
        <f>IFERROR(IF(ROWS($R$2:R54)&lt;=ROWS(tbl_Vendors[VendorName]),INDEX(tbl_Vendors[VendorName],ROWS($R$2:R54)),INDEX(tbl_Customers[CustomerName],ROWS($R$2:R54)-ROWS(tbl_Vendors[VendorName]))),"")</f>
        <v/>
      </c>
    </row>
    <row r="55" spans="18:18">
      <c r="R55" t="str">
        <f>IFERROR(IF(ROWS($R$2:R55)&lt;=ROWS(tbl_Vendors[VendorName]),INDEX(tbl_Vendors[VendorName],ROWS($R$2:R55)),INDEX(tbl_Customers[CustomerName],ROWS($R$2:R55)-ROWS(tbl_Vendors[VendorName]))),"")</f>
        <v/>
      </c>
    </row>
    <row r="56" spans="18:18">
      <c r="R56" t="str">
        <f>IFERROR(IF(ROWS($R$2:R56)&lt;=ROWS(tbl_Vendors[VendorName]),INDEX(tbl_Vendors[VendorName],ROWS($R$2:R56)),INDEX(tbl_Customers[CustomerName],ROWS($R$2:R56)-ROWS(tbl_Vendors[VendorName]))),"")</f>
        <v/>
      </c>
    </row>
    <row r="57" spans="18:18">
      <c r="R57" t="str">
        <f>IFERROR(IF(ROWS($R$2:R57)&lt;=ROWS(tbl_Vendors[VendorName]),INDEX(tbl_Vendors[VendorName],ROWS($R$2:R57)),INDEX(tbl_Customers[CustomerName],ROWS($R$2:R57)-ROWS(tbl_Vendors[VendorName]))),"")</f>
        <v/>
      </c>
    </row>
    <row r="58" spans="18:18">
      <c r="R58" t="str">
        <f>IFERROR(IF(ROWS($R$2:R58)&lt;=ROWS(tbl_Vendors[VendorName]),INDEX(tbl_Vendors[VendorName],ROWS($R$2:R58)),INDEX(tbl_Customers[CustomerName],ROWS($R$2:R58)-ROWS(tbl_Vendors[VendorName]))),"")</f>
        <v/>
      </c>
    </row>
    <row r="59" spans="18:18">
      <c r="R59" t="str">
        <f>IFERROR(IF(ROWS($R$2:R59)&lt;=ROWS(tbl_Vendors[VendorName]),INDEX(tbl_Vendors[VendorName],ROWS($R$2:R59)),INDEX(tbl_Customers[CustomerName],ROWS($R$2:R59)-ROWS(tbl_Vendors[VendorName]))),"")</f>
        <v/>
      </c>
    </row>
    <row r="60" spans="18:18">
      <c r="R60" t="str">
        <f>IFERROR(IF(ROWS($R$2:R60)&lt;=ROWS(tbl_Vendors[VendorName]),INDEX(tbl_Vendors[VendorName],ROWS($R$2:R60)),INDEX(tbl_Customers[CustomerName],ROWS($R$2:R60)-ROWS(tbl_Vendors[VendorName]))),"")</f>
        <v/>
      </c>
    </row>
    <row r="61" spans="18:18">
      <c r="R61" t="str">
        <f>IFERROR(IF(ROWS($R$2:R61)&lt;=ROWS(tbl_Vendors[VendorName]),INDEX(tbl_Vendors[VendorName],ROWS($R$2:R61)),INDEX(tbl_Customers[CustomerName],ROWS($R$2:R61)-ROWS(tbl_Vendors[VendorName]))),"")</f>
        <v/>
      </c>
    </row>
    <row r="62" spans="18:18">
      <c r="R62" t="str">
        <f>IFERROR(IF(ROWS($R$2:R62)&lt;=ROWS(tbl_Vendors[VendorName]),INDEX(tbl_Vendors[VendorName],ROWS($R$2:R62)),INDEX(tbl_Customers[CustomerName],ROWS($R$2:R62)-ROWS(tbl_Vendors[VendorName]))),"")</f>
        <v/>
      </c>
    </row>
    <row r="63" spans="18:18">
      <c r="R63" t="str">
        <f>IFERROR(IF(ROWS($R$2:R63)&lt;=ROWS(tbl_Vendors[VendorName]),INDEX(tbl_Vendors[VendorName],ROWS($R$2:R63)),INDEX(tbl_Customers[CustomerName],ROWS($R$2:R63)-ROWS(tbl_Vendors[VendorName]))),"")</f>
        <v/>
      </c>
    </row>
    <row r="64" spans="18:18">
      <c r="R64" t="str">
        <f>IFERROR(IF(ROWS($R$2:R64)&lt;=ROWS(tbl_Vendors[VendorName]),INDEX(tbl_Vendors[VendorName],ROWS($R$2:R64)),INDEX(tbl_Customers[CustomerName],ROWS($R$2:R64)-ROWS(tbl_Vendors[VendorName]))),"")</f>
        <v/>
      </c>
    </row>
    <row r="65" spans="18:18">
      <c r="R65" t="str">
        <f>IFERROR(IF(ROWS($R$2:R65)&lt;=ROWS(tbl_Vendors[VendorName]),INDEX(tbl_Vendors[VendorName],ROWS($R$2:R65)),INDEX(tbl_Customers[CustomerName],ROWS($R$2:R65)-ROWS(tbl_Vendors[VendorName]))),"")</f>
        <v/>
      </c>
    </row>
    <row r="66" spans="18:18">
      <c r="R66" t="str">
        <f>IFERROR(IF(ROWS($R$2:R66)&lt;=ROWS(tbl_Vendors[VendorName]),INDEX(tbl_Vendors[VendorName],ROWS($R$2:R66)),INDEX(tbl_Customers[CustomerName],ROWS($R$2:R66)-ROWS(tbl_Vendors[VendorName]))),"")</f>
        <v/>
      </c>
    </row>
    <row r="67" spans="18:18">
      <c r="R67" t="str">
        <f>IFERROR(IF(ROWS($R$2:R67)&lt;=ROWS(tbl_Vendors[VendorName]),INDEX(tbl_Vendors[VendorName],ROWS($R$2:R67)),INDEX(tbl_Customers[CustomerName],ROWS($R$2:R67)-ROWS(tbl_Vendors[VendorName]))),"")</f>
        <v/>
      </c>
    </row>
    <row r="68" spans="18:18">
      <c r="R68" t="str">
        <f>IFERROR(IF(ROWS($R$2:R68)&lt;=ROWS(tbl_Vendors[VendorName]),INDEX(tbl_Vendors[VendorName],ROWS($R$2:R68)),INDEX(tbl_Customers[CustomerName],ROWS($R$2:R68)-ROWS(tbl_Vendors[VendorName]))),"")</f>
        <v/>
      </c>
    </row>
    <row r="69" spans="18:18">
      <c r="R69" t="str">
        <f>IFERROR(IF(ROWS($R$2:R69)&lt;=ROWS(tbl_Vendors[VendorName]),INDEX(tbl_Vendors[VendorName],ROWS($R$2:R69)),INDEX(tbl_Customers[CustomerName],ROWS($R$2:R69)-ROWS(tbl_Vendors[VendorName]))),"")</f>
        <v/>
      </c>
    </row>
    <row r="70" spans="18:18">
      <c r="R70" t="str">
        <f>IFERROR(IF(ROWS($R$2:R70)&lt;=ROWS(tbl_Vendors[VendorName]),INDEX(tbl_Vendors[VendorName],ROWS($R$2:R70)),INDEX(tbl_Customers[CustomerName],ROWS($R$2:R70)-ROWS(tbl_Vendors[VendorName]))),"")</f>
        <v/>
      </c>
    </row>
    <row r="71" spans="18:18">
      <c r="R71" t="str">
        <f>IFERROR(IF(ROWS($R$2:R71)&lt;=ROWS(tbl_Vendors[VendorName]),INDEX(tbl_Vendors[VendorName],ROWS($R$2:R71)),INDEX(tbl_Customers[CustomerName],ROWS($R$2:R71)-ROWS(tbl_Vendors[VendorName]))),"")</f>
        <v/>
      </c>
    </row>
    <row r="72" spans="18:18">
      <c r="R72" t="str">
        <f>IFERROR(IF(ROWS($R$2:R72)&lt;=ROWS(tbl_Vendors[VendorName]),INDEX(tbl_Vendors[VendorName],ROWS($R$2:R72)),INDEX(tbl_Customers[CustomerName],ROWS($R$2:R72)-ROWS(tbl_Vendors[VendorName]))),"")</f>
        <v/>
      </c>
    </row>
    <row r="73" spans="18:18">
      <c r="R73" t="str">
        <f>IFERROR(IF(ROWS($R$2:R73)&lt;=ROWS(tbl_Vendors[VendorName]),INDEX(tbl_Vendors[VendorName],ROWS($R$2:R73)),INDEX(tbl_Customers[CustomerName],ROWS($R$2:R73)-ROWS(tbl_Vendors[VendorName]))),"")</f>
        <v/>
      </c>
    </row>
    <row r="74" spans="18:18">
      <c r="R74" t="str">
        <f>IFERROR(IF(ROWS($R$2:R74)&lt;=ROWS(tbl_Vendors[VendorName]),INDEX(tbl_Vendors[VendorName],ROWS($R$2:R74)),INDEX(tbl_Customers[CustomerName],ROWS($R$2:R74)-ROWS(tbl_Vendors[VendorName]))),"")</f>
        <v/>
      </c>
    </row>
    <row r="75" spans="18:18">
      <c r="R75" t="str">
        <f>IFERROR(IF(ROWS($R$2:R75)&lt;=ROWS(tbl_Vendors[VendorName]),INDEX(tbl_Vendors[VendorName],ROWS($R$2:R75)),INDEX(tbl_Customers[CustomerName],ROWS($R$2:R75)-ROWS(tbl_Vendors[VendorName]))),"")</f>
        <v/>
      </c>
    </row>
    <row r="76" spans="18:18">
      <c r="R76" t="str">
        <f>IFERROR(IF(ROWS($R$2:R76)&lt;=ROWS(tbl_Vendors[VendorName]),INDEX(tbl_Vendors[VendorName],ROWS($R$2:R76)),INDEX(tbl_Customers[CustomerName],ROWS($R$2:R76)-ROWS(tbl_Vendors[VendorName]))),"")</f>
        <v/>
      </c>
    </row>
    <row r="77" spans="18:18">
      <c r="R77" t="str">
        <f>IFERROR(IF(ROWS($R$2:R77)&lt;=ROWS(tbl_Vendors[VendorName]),INDEX(tbl_Vendors[VendorName],ROWS($R$2:R77)),INDEX(tbl_Customers[CustomerName],ROWS($R$2:R77)-ROWS(tbl_Vendors[VendorName]))),"")</f>
        <v/>
      </c>
    </row>
    <row r="78" spans="18:18">
      <c r="R78" t="str">
        <f>IFERROR(IF(ROWS($R$2:R78)&lt;=ROWS(tbl_Vendors[VendorName]),INDEX(tbl_Vendors[VendorName],ROWS($R$2:R78)),INDEX(tbl_Customers[CustomerName],ROWS($R$2:R78)-ROWS(tbl_Vendors[VendorName]))),"")</f>
        <v/>
      </c>
    </row>
    <row r="79" spans="18:18">
      <c r="R79" t="str">
        <f>IFERROR(IF(ROWS($R$2:R79)&lt;=ROWS(tbl_Vendors[VendorName]),INDEX(tbl_Vendors[VendorName],ROWS($R$2:R79)),INDEX(tbl_Customers[CustomerName],ROWS($R$2:R79)-ROWS(tbl_Vendors[VendorName]))),"")</f>
        <v/>
      </c>
    </row>
    <row r="80" spans="18:18">
      <c r="R80" t="str">
        <f>IFERROR(IF(ROWS($R$2:R80)&lt;=ROWS(tbl_Vendors[VendorName]),INDEX(tbl_Vendors[VendorName],ROWS($R$2:R80)),INDEX(tbl_Customers[CustomerName],ROWS($R$2:R80)-ROWS(tbl_Vendors[VendorName]))),"")</f>
        <v/>
      </c>
    </row>
    <row r="81" spans="18:18">
      <c r="R81" t="str">
        <f>IFERROR(IF(ROWS($R$2:R81)&lt;=ROWS(tbl_Vendors[VendorName]),INDEX(tbl_Vendors[VendorName],ROWS($R$2:R81)),INDEX(tbl_Customers[CustomerName],ROWS($R$2:R81)-ROWS(tbl_Vendors[VendorName]))),"")</f>
        <v/>
      </c>
    </row>
    <row r="82" spans="18:18">
      <c r="R82" t="str">
        <f>IFERROR(IF(ROWS($R$2:R82)&lt;=ROWS(tbl_Vendors[VendorName]),INDEX(tbl_Vendors[VendorName],ROWS($R$2:R82)),INDEX(tbl_Customers[CustomerName],ROWS($R$2:R82)-ROWS(tbl_Vendors[VendorName]))),"")</f>
        <v/>
      </c>
    </row>
    <row r="83" spans="18:18">
      <c r="R83" t="str">
        <f>IFERROR(IF(ROWS($R$2:R83)&lt;=ROWS(tbl_Vendors[VendorName]),INDEX(tbl_Vendors[VendorName],ROWS($R$2:R83)),INDEX(tbl_Customers[CustomerName],ROWS($R$2:R83)-ROWS(tbl_Vendors[VendorName]))),"")</f>
        <v/>
      </c>
    </row>
    <row r="84" spans="18:18">
      <c r="R84" t="str">
        <f>IFERROR(IF(ROWS($R$2:R84)&lt;=ROWS(tbl_Vendors[VendorName]),INDEX(tbl_Vendors[VendorName],ROWS($R$2:R84)),INDEX(tbl_Customers[CustomerName],ROWS($R$2:R84)-ROWS(tbl_Vendors[VendorName]))),"")</f>
        <v/>
      </c>
    </row>
    <row r="85" spans="18:18">
      <c r="R85" t="str">
        <f>IFERROR(IF(ROWS($R$2:R85)&lt;=ROWS(tbl_Vendors[VendorName]),INDEX(tbl_Vendors[VendorName],ROWS($R$2:R85)),INDEX(tbl_Customers[CustomerName],ROWS($R$2:R85)-ROWS(tbl_Vendors[VendorName]))),"")</f>
        <v/>
      </c>
    </row>
    <row r="86" spans="18:18">
      <c r="R86" t="str">
        <f>IFERROR(IF(ROWS($R$2:R86)&lt;=ROWS(tbl_Vendors[VendorName]),INDEX(tbl_Vendors[VendorName],ROWS($R$2:R86)),INDEX(tbl_Customers[CustomerName],ROWS($R$2:R86)-ROWS(tbl_Vendors[VendorName]))),"")</f>
        <v/>
      </c>
    </row>
    <row r="87" spans="18:18">
      <c r="R87" t="str">
        <f>IFERROR(IF(ROWS($R$2:R87)&lt;=ROWS(tbl_Vendors[VendorName]),INDEX(tbl_Vendors[VendorName],ROWS($R$2:R87)),INDEX(tbl_Customers[CustomerName],ROWS($R$2:R87)-ROWS(tbl_Vendors[VendorName]))),"")</f>
        <v/>
      </c>
    </row>
    <row r="88" spans="18:18">
      <c r="R88" t="str">
        <f>IFERROR(IF(ROWS($R$2:R88)&lt;=ROWS(tbl_Vendors[VendorName]),INDEX(tbl_Vendors[VendorName],ROWS($R$2:R88)),INDEX(tbl_Customers[CustomerName],ROWS($R$2:R88)-ROWS(tbl_Vendors[VendorName]))),"")</f>
        <v/>
      </c>
    </row>
    <row r="89" spans="18:18">
      <c r="R89" t="str">
        <f>IFERROR(IF(ROWS($R$2:R89)&lt;=ROWS(tbl_Vendors[VendorName]),INDEX(tbl_Vendors[VendorName],ROWS($R$2:R89)),INDEX(tbl_Customers[CustomerName],ROWS($R$2:R89)-ROWS(tbl_Vendors[VendorName]))),"")</f>
        <v/>
      </c>
    </row>
    <row r="90" spans="18:18">
      <c r="R90" t="str">
        <f>IFERROR(IF(ROWS($R$2:R90)&lt;=ROWS(tbl_Vendors[VendorName]),INDEX(tbl_Vendors[VendorName],ROWS($R$2:R90)),INDEX(tbl_Customers[CustomerName],ROWS($R$2:R90)-ROWS(tbl_Vendors[VendorName]))),"")</f>
        <v/>
      </c>
    </row>
    <row r="91" spans="18:18">
      <c r="R91" t="str">
        <f>IFERROR(IF(ROWS($R$2:R91)&lt;=ROWS(tbl_Vendors[VendorName]),INDEX(tbl_Vendors[VendorName],ROWS($R$2:R91)),INDEX(tbl_Customers[CustomerName],ROWS($R$2:R91)-ROWS(tbl_Vendors[VendorName]))),"")</f>
        <v/>
      </c>
    </row>
    <row r="92" spans="18:18">
      <c r="R92" t="str">
        <f>IFERROR(IF(ROWS($R$2:R92)&lt;=ROWS(tbl_Vendors[VendorName]),INDEX(tbl_Vendors[VendorName],ROWS($R$2:R92)),INDEX(tbl_Customers[CustomerName],ROWS($R$2:R92)-ROWS(tbl_Vendors[VendorName]))),"")</f>
        <v/>
      </c>
    </row>
    <row r="93" spans="18:18">
      <c r="R93" t="str">
        <f>IFERROR(IF(ROWS($R$2:R93)&lt;=ROWS(tbl_Vendors[VendorName]),INDEX(tbl_Vendors[VendorName],ROWS($R$2:R93)),INDEX(tbl_Customers[CustomerName],ROWS($R$2:R93)-ROWS(tbl_Vendors[VendorName]))),"")</f>
        <v/>
      </c>
    </row>
    <row r="94" spans="18:18">
      <c r="R94" t="str">
        <f>IFERROR(IF(ROWS($R$2:R94)&lt;=ROWS(tbl_Vendors[VendorName]),INDEX(tbl_Vendors[VendorName],ROWS($R$2:R94)),INDEX(tbl_Customers[CustomerName],ROWS($R$2:R94)-ROWS(tbl_Vendors[VendorName]))),"")</f>
        <v/>
      </c>
    </row>
    <row r="95" spans="18:18">
      <c r="R95" t="str">
        <f>IFERROR(IF(ROWS($R$2:R95)&lt;=ROWS(tbl_Vendors[VendorName]),INDEX(tbl_Vendors[VendorName],ROWS($R$2:R95)),INDEX(tbl_Customers[CustomerName],ROWS($R$2:R95)-ROWS(tbl_Vendors[VendorName]))),"")</f>
        <v/>
      </c>
    </row>
    <row r="96" spans="18:18">
      <c r="R96" t="str">
        <f>IFERROR(IF(ROWS($R$2:R96)&lt;=ROWS(tbl_Vendors[VendorName]),INDEX(tbl_Vendors[VendorName],ROWS($R$2:R96)),INDEX(tbl_Customers[CustomerName],ROWS($R$2:R96)-ROWS(tbl_Vendors[VendorName]))),"")</f>
        <v/>
      </c>
    </row>
    <row r="97" spans="18:18">
      <c r="R97" t="str">
        <f>IFERROR(IF(ROWS($R$2:R97)&lt;=ROWS(tbl_Vendors[VendorName]),INDEX(tbl_Vendors[VendorName],ROWS($R$2:R97)),INDEX(tbl_Customers[CustomerName],ROWS($R$2:R97)-ROWS(tbl_Vendors[VendorName]))),"")</f>
        <v/>
      </c>
    </row>
    <row r="98" spans="18:18">
      <c r="R98" t="str">
        <f>IFERROR(IF(ROWS($R$2:R98)&lt;=ROWS(tbl_Vendors[VendorName]),INDEX(tbl_Vendors[VendorName],ROWS($R$2:R98)),INDEX(tbl_Customers[CustomerName],ROWS($R$2:R98)-ROWS(tbl_Vendors[VendorName]))),"")</f>
        <v/>
      </c>
    </row>
    <row r="99" spans="18:18">
      <c r="R99" t="str">
        <f>IFERROR(IF(ROWS($R$2:R99)&lt;=ROWS(tbl_Vendors[VendorName]),INDEX(tbl_Vendors[VendorName],ROWS($R$2:R99)),INDEX(tbl_Customers[CustomerName],ROWS($R$2:R99)-ROWS(tbl_Vendors[VendorName]))),"")</f>
        <v/>
      </c>
    </row>
    <row r="100" spans="18:18">
      <c r="R100" t="str">
        <f>IFERROR(IF(ROWS($R$2:R100)&lt;=ROWS(tbl_Vendors[VendorName]),INDEX(tbl_Vendors[VendorName],ROWS($R$2:R100)),INDEX(tbl_Customers[CustomerName],ROWS($R$2:R100)-ROWS(tbl_Vendors[VendorName]))),"")</f>
        <v/>
      </c>
    </row>
    <row r="101" spans="18:18">
      <c r="R101" t="str">
        <f>IFERROR(IF(ROWS($R$2:R101)&lt;=ROWS(tbl_Vendors[VendorName]),INDEX(tbl_Vendors[VendorName],ROWS($R$2:R101)),INDEX(tbl_Customers[CustomerName],ROWS($R$2:R101)-ROWS(tbl_Vendors[VendorName]))),"")</f>
        <v/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112</vt:i4>
      </vt:variant>
    </vt:vector>
  </HeadingPairs>
  <TitlesOfParts>
    <vt:vector size="132" baseType="lpstr">
      <vt:lpstr>Home</vt:lpstr>
      <vt:lpstr>Settings</vt:lpstr>
      <vt:lpstr>Quick Add</vt:lpstr>
      <vt:lpstr>Bills</vt:lpstr>
      <vt:lpstr>Clients</vt:lpstr>
      <vt:lpstr>Goals</vt:lpstr>
      <vt:lpstr>_data_Transactions</vt:lpstr>
      <vt:lpstr>_data_Categories</vt:lpstr>
      <vt:lpstr>_data_Vendors</vt:lpstr>
      <vt:lpstr>_data_Bills</vt:lpstr>
      <vt:lpstr>_data_Customers</vt:lpstr>
      <vt:lpstr>_data_Invoices</vt:lpstr>
      <vt:lpstr>_data_Goals</vt:lpstr>
      <vt:lpstr>_data_BusinessProfile</vt:lpstr>
      <vt:lpstr>_data_Settings</vt:lpstr>
      <vt:lpstr>_calc_Core</vt:lpstr>
      <vt:lpstr>_calc_Health</vt:lpstr>
      <vt:lpstr>_calc_Attention</vt:lpstr>
      <vt:lpstr>_calc_Insights</vt:lpstr>
      <vt:lpstr>_lists_Validation</vt:lpstr>
      <vt:lpstr>AttentionItem1Description</vt:lpstr>
      <vt:lpstr>AttentionItem1Icon</vt:lpstr>
      <vt:lpstr>AttentionItem1Priority</vt:lpstr>
      <vt:lpstr>AttentionItem1Severity</vt:lpstr>
      <vt:lpstr>AttentionItem1Source</vt:lpstr>
      <vt:lpstr>AttentionItem1Title</vt:lpstr>
      <vt:lpstr>AttentionItem2Description</vt:lpstr>
      <vt:lpstr>AttentionItem2Icon</vt:lpstr>
      <vt:lpstr>AttentionItem2Priority</vt:lpstr>
      <vt:lpstr>AttentionItem2Severity</vt:lpstr>
      <vt:lpstr>AttentionItem2Source</vt:lpstr>
      <vt:lpstr>AttentionItem2Title</vt:lpstr>
      <vt:lpstr>AttentionItem3Description</vt:lpstr>
      <vt:lpstr>AttentionItem3Icon</vt:lpstr>
      <vt:lpstr>AttentionItem3Priority</vt:lpstr>
      <vt:lpstr>AttentionItem3Severity</vt:lpstr>
      <vt:lpstr>AttentionItem3Source</vt:lpstr>
      <vt:lpstr>AttentionItem3Title</vt:lpstr>
      <vt:lpstr>AttentionItem4Description</vt:lpstr>
      <vt:lpstr>AttentionItem4Icon</vt:lpstr>
      <vt:lpstr>AttentionItem4Priority</vt:lpstr>
      <vt:lpstr>AttentionItem4Severity</vt:lpstr>
      <vt:lpstr>AttentionItem4Source</vt:lpstr>
      <vt:lpstr>AttentionItem4Title</vt:lpstr>
      <vt:lpstr>AttentionItem5Description</vt:lpstr>
      <vt:lpstr>AttentionItem5Icon</vt:lpstr>
      <vt:lpstr>AttentionItem5Priority</vt:lpstr>
      <vt:lpstr>AttentionItem5Severity</vt:lpstr>
      <vt:lpstr>AttentionItem5Source</vt:lpstr>
      <vt:lpstr>AttentionItem5Title</vt:lpstr>
      <vt:lpstr>AttentionItemCount</vt:lpstr>
      <vt:lpstr>calcAverageTransaction</vt:lpstr>
      <vt:lpstr>calcCurrentMonth</vt:lpstr>
      <vt:lpstr>calcHealthColor</vt:lpstr>
      <vt:lpstr>calcHealthIcon</vt:lpstr>
      <vt:lpstr>calcHealthScore</vt:lpstr>
      <vt:lpstr>calcHealthState</vt:lpstr>
      <vt:lpstr>calcHealthSubtitle</vt:lpstr>
      <vt:lpstr>calcHealthTitle</vt:lpstr>
      <vt:lpstr>calcMoneyInThisMonth</vt:lpstr>
      <vt:lpstr>calcMoneyOutThisMonth</vt:lpstr>
      <vt:lpstr>calcNetCashFlow</vt:lpstr>
      <vt:lpstr>calcPreviousMonth</vt:lpstr>
      <vt:lpstr>calcTransactionCount</vt:lpstr>
      <vt:lpstr>CategoryNameList</vt:lpstr>
      <vt:lpstr>CelebrationsEnabledFlag</vt:lpstr>
      <vt:lpstr>CurrentAppVersion</vt:lpstr>
      <vt:lpstr>CurrentBuildNumber</vt:lpstr>
      <vt:lpstr>CurrentBusinessName</vt:lpstr>
      <vt:lpstr>CurrentBusinessType</vt:lpstr>
      <vt:lpstr>CurrentCurrency</vt:lpstr>
      <vt:lpstr>CurrentDateFormat</vt:lpstr>
      <vt:lpstr>CurrentFiscalYearStart</vt:lpstr>
      <vt:lpstr>CurrentLastBriefingGeneratedDate</vt:lpstr>
      <vt:lpstr>CurrentLastUpdated</vt:lpstr>
      <vt:lpstr>CurrentLicense</vt:lpstr>
      <vt:lpstr>CurrentLogoPlaceholder</vt:lpstr>
      <vt:lpstr>CurrentNumberFormat</vt:lpstr>
      <vt:lpstr>CurrentOwnerName</vt:lpstr>
      <vt:lpstr>CurrentSetupCompletedDate</vt:lpstr>
      <vt:lpstr>CurrentStartingCash</vt:lpstr>
      <vt:lpstr>CurrentTheme</vt:lpstr>
      <vt:lpstr>CurrentTimeZone</vt:lpstr>
      <vt:lpstr>CurrentWeekStart</vt:lpstr>
      <vt:lpstr>CustomerNameList</vt:lpstr>
      <vt:lpstr>DefaultInvoiceDueDays</vt:lpstr>
      <vt:lpstr>InsightItem1DisplayOrder</vt:lpstr>
      <vt:lpstr>InsightItem1Icon</vt:lpstr>
      <vt:lpstr>InsightItem1InsightType</vt:lpstr>
      <vt:lpstr>InsightItem1Message</vt:lpstr>
      <vt:lpstr>InsightItem1Priority</vt:lpstr>
      <vt:lpstr>InsightItem1SupportingValue</vt:lpstr>
      <vt:lpstr>InsightItem1Title</vt:lpstr>
      <vt:lpstr>InsightItem2DisplayOrder</vt:lpstr>
      <vt:lpstr>InsightItem2Icon</vt:lpstr>
      <vt:lpstr>InsightItem2InsightType</vt:lpstr>
      <vt:lpstr>InsightItem2Message</vt:lpstr>
      <vt:lpstr>InsightItem2Priority</vt:lpstr>
      <vt:lpstr>InsightItem2SupportingValue</vt:lpstr>
      <vt:lpstr>InsightItem2Title</vt:lpstr>
      <vt:lpstr>InsightItem3DisplayOrder</vt:lpstr>
      <vt:lpstr>InsightItem3Icon</vt:lpstr>
      <vt:lpstr>InsightItem3InsightType</vt:lpstr>
      <vt:lpstr>InsightItem3Message</vt:lpstr>
      <vt:lpstr>InsightItem3Priority</vt:lpstr>
      <vt:lpstr>InsightItem3SupportingValue</vt:lpstr>
      <vt:lpstr>InsightItem3Title</vt:lpstr>
      <vt:lpstr>InsightItemCount</vt:lpstr>
      <vt:lpstr>InsightsEnabledFlag</vt:lpstr>
      <vt:lpstr>Bills!Print_Area</vt:lpstr>
      <vt:lpstr>Clients!Print_Area</vt:lpstr>
      <vt:lpstr>Goals!Print_Area</vt:lpstr>
      <vt:lpstr>Home!Print_Area</vt:lpstr>
      <vt:lpstr>'Quick Add'!Print_Area</vt:lpstr>
      <vt:lpstr>Settings!Print_Area</vt:lpstr>
      <vt:lpstr>rngBillStatuses</vt:lpstr>
      <vt:lpstr>rngBooleanChoice</vt:lpstr>
      <vt:lpstr>rngBusinessTypes</vt:lpstr>
      <vt:lpstr>rngCategoryDirection</vt:lpstr>
      <vt:lpstr>rngCurrencies</vt:lpstr>
      <vt:lpstr>rngDateFormats</vt:lpstr>
      <vt:lpstr>rngGoalStatuses</vt:lpstr>
      <vt:lpstr>rngGoalTypes</vt:lpstr>
      <vt:lpstr>rngInvoiceStatuses</vt:lpstr>
      <vt:lpstr>rngMonths</vt:lpstr>
      <vt:lpstr>rngNumberFormats</vt:lpstr>
      <vt:lpstr>rngRecurrenceFrequencies</vt:lpstr>
      <vt:lpstr>rngThemes</vt:lpstr>
      <vt:lpstr>rngTimeZones</vt:lpstr>
      <vt:lpstr>rngTransactionDirection</vt:lpstr>
      <vt:lpstr>rngWeekStart</vt:lpstr>
      <vt:lpstr>VendorNameList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</cp:lastModifiedBy>
  <cp:revision>0</cp:revision>
  <dcterms:created xsi:type="dcterms:W3CDTF">2026-07-15T09:11:18Z</dcterms:created>
  <dcterms:modified xsi:type="dcterms:W3CDTF">2026-10-12T09:18:21Z</dcterms:modified>
  <dc:language>en-US</dc:language>
</cp:coreProperties>
</file>