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Settings" sheetId="2" state="visible" r:id="rId4"/>
    <sheet name="Quick Add" sheetId="3" state="visible" r:id="rId5"/>
    <sheet name="Bills" sheetId="4" state="visible" r:id="rId6"/>
    <sheet name="Clients" sheetId="5" state="visible" r:id="rId7"/>
    <sheet name="Goals" sheetId="6" state="visible" r:id="rId8"/>
    <sheet name="_data_Transactions" sheetId="7" state="hidden" r:id="rId9"/>
    <sheet name="_data_Categories" sheetId="8" state="hidden" r:id="rId10"/>
    <sheet name="_data_Vendors" sheetId="9" state="hidden" r:id="rId11"/>
    <sheet name="_data_Bills" sheetId="10" state="hidden" r:id="rId12"/>
    <sheet name="_data_Customers" sheetId="11" state="hidden" r:id="rId13"/>
    <sheet name="_data_Invoices" sheetId="12" state="hidden" r:id="rId14"/>
    <sheet name="_data_Goals" sheetId="13" state="hidden" r:id="rId15"/>
    <sheet name="_data_BusinessProfile" sheetId="14" state="hidden" r:id="rId16"/>
    <sheet name="_data_Settings" sheetId="15" state="hidden" r:id="rId17"/>
    <sheet name="_calc_Core" sheetId="16" state="hidden" r:id="rId18"/>
    <sheet name="_calc_Health" sheetId="17" state="hidden" r:id="rId19"/>
    <sheet name="_calc_Attention" sheetId="18" state="hidden" r:id="rId20"/>
    <sheet name="_calc_Insights" sheetId="19" state="hidden" r:id="rId21"/>
    <sheet name="_lists_Validation" sheetId="20" state="hidden" r:id="rId22"/>
  </sheets>
  <definedNames>
    <definedName function="false" hidden="false" localSheetId="3" name="_xlnm.Print_Area" vbProcedure="false">Bills!$A$1</definedName>
    <definedName function="false" hidden="false" localSheetId="4" name="_xlnm.Print_Area" vbProcedure="false">Clients!$A$1</definedName>
    <definedName function="false" hidden="false" localSheetId="5" name="_xlnm.Print_Area" vbProcedure="false">Goals!$A$1</definedName>
    <definedName function="false" hidden="false" localSheetId="0" name="_xlnm.Print_Area" vbProcedure="false">Home!$A$1</definedName>
    <definedName function="false" hidden="false" localSheetId="2" name="_xlnm.Print_Area" vbProcedure="false">'Quick Add'!$A$1</definedName>
    <definedName function="false" hidden="false" localSheetId="1" name="_xlnm.Print_Area" vbProcedure="false">Settings!$A$1</definedName>
    <definedName function="false" hidden="false" name="AttentionItem1Description" vbProcedure="false">_calc_Attention!$D$30</definedName>
    <definedName function="false" hidden="false" name="AttentionItem1Icon" vbProcedure="false">_calc_Attention!$F$30</definedName>
    <definedName function="false" hidden="false" name="AttentionItem1Priority" vbProcedure="false">_calc_Attention!$B$30</definedName>
    <definedName function="false" hidden="false" name="AttentionItem1Severity" vbProcedure="false">_calc_Attention!$E$30</definedName>
    <definedName function="false" hidden="false" name="AttentionItem1Source" vbProcedure="false">_calc_Attention!$G$30</definedName>
    <definedName function="false" hidden="false" name="AttentionItem1Title" vbProcedure="false">_calc_Attention!$C$30</definedName>
    <definedName function="false" hidden="false" name="AttentionItem2Description" vbProcedure="false">_calc_Attention!$D$31</definedName>
    <definedName function="false" hidden="false" name="AttentionItem2Icon" vbProcedure="false">_calc_Attention!$F$31</definedName>
    <definedName function="false" hidden="false" name="AttentionItem2Priority" vbProcedure="false">_calc_Attention!$B$31</definedName>
    <definedName function="false" hidden="false" name="AttentionItem2Severity" vbProcedure="false">_calc_Attention!$E$31</definedName>
    <definedName function="false" hidden="false" name="AttentionItem2Source" vbProcedure="false">_calc_Attention!$G$31</definedName>
    <definedName function="false" hidden="false" name="AttentionItem2Title" vbProcedure="false">_calc_Attention!$C$31</definedName>
    <definedName function="false" hidden="false" name="AttentionItem3Description" vbProcedure="false">_calc_Attention!$D$32</definedName>
    <definedName function="false" hidden="false" name="AttentionItem3Icon" vbProcedure="false">_calc_Attention!$F$32</definedName>
    <definedName function="false" hidden="false" name="AttentionItem3Priority" vbProcedure="false">_calc_Attention!$B$32</definedName>
    <definedName function="false" hidden="false" name="AttentionItem3Severity" vbProcedure="false">_calc_Attention!$E$32</definedName>
    <definedName function="false" hidden="false" name="AttentionItem3Source" vbProcedure="false">_calc_Attention!$G$32</definedName>
    <definedName function="false" hidden="false" name="AttentionItem3Title" vbProcedure="false">_calc_Attention!$C$32</definedName>
    <definedName function="false" hidden="false" name="AttentionItem4Description" vbProcedure="false">_calc_Attention!$D$33</definedName>
    <definedName function="false" hidden="false" name="AttentionItem4Icon" vbProcedure="false">_calc_Attention!$F$33</definedName>
    <definedName function="false" hidden="false" name="AttentionItem4Priority" vbProcedure="false">_calc_Attention!$B$33</definedName>
    <definedName function="false" hidden="false" name="AttentionItem4Severity" vbProcedure="false">_calc_Attention!$E$33</definedName>
    <definedName function="false" hidden="false" name="AttentionItem4Source" vbProcedure="false">_calc_Attention!$G$33</definedName>
    <definedName function="false" hidden="false" name="AttentionItem4Title" vbProcedure="false">_calc_Attention!$C$33</definedName>
    <definedName function="false" hidden="false" name="AttentionItem5Description" vbProcedure="false">_calc_Attention!$D$34</definedName>
    <definedName function="false" hidden="false" name="AttentionItem5Icon" vbProcedure="false">_calc_Attention!$F$34</definedName>
    <definedName function="false" hidden="false" name="AttentionItem5Priority" vbProcedure="false">_calc_Attention!$B$34</definedName>
    <definedName function="false" hidden="false" name="AttentionItem5Severity" vbProcedure="false">_calc_Attention!$E$34</definedName>
    <definedName function="false" hidden="false" name="AttentionItem5Source" vbProcedure="false">_calc_Attention!$G$34</definedName>
    <definedName function="false" hidden="false" name="AttentionItem5Title" vbProcedure="false">_calc_Attention!$C$34</definedName>
    <definedName function="false" hidden="false" name="AttentionItemCount" vbProcedure="false">_calc_Attention!$B$35</definedName>
    <definedName function="false" hidden="false" name="calcAverageTransaction" vbProcedure="false">_calc_Core!$B$8</definedName>
    <definedName function="false" hidden="false" name="calcCurrentMonth" vbProcedure="false">_calc_Core!$B$2</definedName>
    <definedName function="false" hidden="false" name="calcHealthColor" vbProcedure="false">_calc_Health!$B$34</definedName>
    <definedName function="false" hidden="false" name="calcHealthIcon" vbProcedure="false">_calc_Health!$B$35</definedName>
    <definedName function="false" hidden="false" name="calcHealthScore" vbProcedure="false">_calc_Health!$B$31</definedName>
    <definedName function="false" hidden="false" name="calcHealthState" vbProcedure="false">_calc_Health!$B$30</definedName>
    <definedName function="false" hidden="false" name="calcHealthSubtitle" vbProcedure="false">_calc_Health!$B$33</definedName>
    <definedName function="false" hidden="false" name="calcHealthTitle" vbProcedure="false">_calc_Health!$B$32</definedName>
    <definedName function="false" hidden="false" name="calcMoneyInThisMonth" vbProcedure="false">_calc_Core!$B$4</definedName>
    <definedName function="false" hidden="false" name="calcMoneyOutThisMonth" vbProcedure="false">_calc_Core!$B$5</definedName>
    <definedName function="false" hidden="false" name="calcNetCashFlow" vbProcedure="false">_calc_Core!$B$6</definedName>
    <definedName function="false" hidden="false" name="calcPreviousMonth" vbProcedure="false">_calc_Core!$B$3</definedName>
    <definedName function="false" hidden="false" name="calcTransactionCount" vbProcedure="false">_calc_Core!$B$7</definedName>
    <definedName function="false" hidden="false" name="CategoryNameList" vbProcedure="false">tbl_Categories[CategoryName]</definedName>
    <definedName function="false" hidden="false" name="CelebrationsEnabledFlag" vbProcedure="false">_data_Settings!$D$2</definedName>
    <definedName function="false" hidden="false" name="CurrentAppVersion" vbProcedure="false">_data_Settings!$G$2</definedName>
    <definedName function="false" hidden="false" name="CurrentBuildNumber" vbProcedure="false">_data_Settings!$J$2</definedName>
    <definedName function="false" hidden="false" name="CurrentBusinessName" vbProcedure="false">_data_BusinessProfile!$A$2</definedName>
    <definedName function="false" hidden="false" name="CurrentBusinessType" vbProcedure="false">_data_BusinessProfile!$B$2</definedName>
    <definedName function="false" hidden="false" name="CurrentCurrency" vbProcedure="false">_data_BusinessProfile!$D$2</definedName>
    <definedName function="false" hidden="false" name="CurrentDateFormat" vbProcedure="false">_data_Settings!$A$2</definedName>
    <definedName function="false" hidden="false" name="CurrentFiscalYearStart" vbProcedure="false">_data_BusinessProfile!$C$2</definedName>
    <definedName function="false" hidden="false" name="CurrentLastBriefingGeneratedDate" vbProcedure="false">_data_Settings!$F$2</definedName>
    <definedName function="false" hidden="false" name="CurrentLastUpdated" vbProcedure="false">_data_Settings!$K$2</definedName>
    <definedName function="false" hidden="false" name="CurrentLicense" vbProcedure="false">_data_Settings!$L$2</definedName>
    <definedName function="false" hidden="false" name="CurrentLogoPlaceholder" vbProcedure="false">_data_BusinessProfile!$G$2</definedName>
    <definedName function="false" hidden="false" name="CurrentNumberFormat" vbProcedure="false">_data_Settings!$H$2</definedName>
    <definedName function="false" hidden="false" name="CurrentOwnerName" vbProcedure="false">_data_BusinessProfile!$H$2</definedName>
    <definedName function="false" hidden="false" name="CurrentSetupCompletedDate" vbProcedure="false">_data_BusinessProfile!$F$2</definedName>
    <definedName function="false" hidden="false" name="CurrentStartingCash" vbProcedure="false">_data_BusinessProfile!$E$2</definedName>
    <definedName function="false" hidden="false" name="CurrentTheme" vbProcedure="false">_data_Settings!$I$2</definedName>
    <definedName function="false" hidden="false" name="CurrentTimeZone" vbProcedure="false">_data_BusinessProfile!$I$2</definedName>
    <definedName function="false" hidden="false" name="CurrentWeekStart" vbProcedure="false">_data_Settings!$B$2</definedName>
    <definedName function="false" hidden="false" name="CustomerNameList" vbProcedure="false">tbl_Customers[CustomerName]</definedName>
    <definedName function="false" hidden="false" name="DefaultInvoiceDueDays" vbProcedure="false">_data_Settings!$E$2</definedName>
    <definedName function="false" hidden="false" name="InsightItem1DisplayOrder" vbProcedure="false">_calc_Insights!$H$28</definedName>
    <definedName function="false" hidden="false" name="InsightItem1Icon" vbProcedure="false">_calc_Insights!$G$28</definedName>
    <definedName function="false" hidden="false" name="InsightItem1InsightType" vbProcedure="false">_calc_Insights!$E$28</definedName>
    <definedName function="false" hidden="false" name="InsightItem1Message" vbProcedure="false">_calc_Insights!$D$28</definedName>
    <definedName function="false" hidden="false" name="InsightItem1Priority" vbProcedure="false">_calc_Insights!$B$28</definedName>
    <definedName function="false" hidden="false" name="InsightItem1SupportingValue" vbProcedure="false">_calc_Insights!$F$28</definedName>
    <definedName function="false" hidden="false" name="InsightItem1Title" vbProcedure="false">_calc_Insights!$C$28</definedName>
    <definedName function="false" hidden="false" name="InsightItem2DisplayOrder" vbProcedure="false">_calc_Insights!$H$29</definedName>
    <definedName function="false" hidden="false" name="InsightItem2Icon" vbProcedure="false">_calc_Insights!$G$29</definedName>
    <definedName function="false" hidden="false" name="InsightItem2InsightType" vbProcedure="false">_calc_Insights!$E$29</definedName>
    <definedName function="false" hidden="false" name="InsightItem2Message" vbProcedure="false">_calc_Insights!$D$29</definedName>
    <definedName function="false" hidden="false" name="InsightItem2Priority" vbProcedure="false">_calc_Insights!$B$29</definedName>
    <definedName function="false" hidden="false" name="InsightItem2SupportingValue" vbProcedure="false">_calc_Insights!$F$29</definedName>
    <definedName function="false" hidden="false" name="InsightItem2Title" vbProcedure="false">_calc_Insights!$C$29</definedName>
    <definedName function="false" hidden="false" name="InsightItem3DisplayOrder" vbProcedure="false">_calc_Insights!$H$30</definedName>
    <definedName function="false" hidden="false" name="InsightItem3Icon" vbProcedure="false">_calc_Insights!$G$30</definedName>
    <definedName function="false" hidden="false" name="InsightItem3InsightType" vbProcedure="false">_calc_Insights!$E$30</definedName>
    <definedName function="false" hidden="false" name="InsightItem3Message" vbProcedure="false">_calc_Insights!$D$30</definedName>
    <definedName function="false" hidden="false" name="InsightItem3Priority" vbProcedure="false">_calc_Insights!$B$30</definedName>
    <definedName function="false" hidden="false" name="InsightItem3SupportingValue" vbProcedure="false">_calc_Insights!$F$30</definedName>
    <definedName function="false" hidden="false" name="InsightItem3Title" vbProcedure="false">_calc_Insights!$C$30</definedName>
    <definedName function="false" hidden="false" name="InsightItemCount" vbProcedure="false">_calc_Insights!$B$31</definedName>
    <definedName function="false" hidden="false" name="InsightsEnabledFlag" vbProcedure="false">_data_Settings!$C$2</definedName>
    <definedName function="false" hidden="false" name="rngBillStatuses" vbProcedure="false">_lists_Validation!$L$2:$L$4</definedName>
    <definedName function="false" hidden="false" name="rngBooleanChoice" vbProcedure="false">_lists_Validation!$K$2:$K$3</definedName>
    <definedName function="false" hidden="false" name="rngBusinessTypes" vbProcedure="false">_lists_Validation!$B$2:$B$5</definedName>
    <definedName function="false" hidden="false" name="rngCategoryDirection" vbProcedure="false">_lists_Validation!$J$2:$J$4</definedName>
    <definedName function="false" hidden="false" name="rngCurrencies" vbProcedure="false">_lists_Validation!$A$2:$A$6</definedName>
    <definedName function="false" hidden="false" name="rngDateFormats" vbProcedure="false">_lists_Validation!$G$2:$G$3</definedName>
    <definedName function="false" hidden="false" name="rngGoalStatuses" vbProcedure="false">_lists_Validation!$P$2:$P$4</definedName>
    <definedName function="false" hidden="false" name="rngGoalTypes" vbProcedure="false">_lists_Validation!$O$2:$O$4</definedName>
    <definedName function="false" hidden="false" name="rngInvoiceStatuses" vbProcedure="false">_lists_Validation!$N$2:$N$6</definedName>
    <definedName function="false" hidden="false" name="rngMonths" vbProcedure="false">_lists_Validation!$C$2:$C$13</definedName>
    <definedName function="false" hidden="false" name="rngNumberFormats" vbProcedure="false">_lists_Validation!$H$2:$H$3</definedName>
    <definedName function="false" hidden="false" name="rngRecurrenceFrequencies" vbProcedure="false">_lists_Validation!$M$2:$M$6</definedName>
    <definedName function="false" hidden="false" name="rngThemes" vbProcedure="false">_lists_Validation!$F$2:$F$2</definedName>
    <definedName function="false" hidden="false" name="rngTimeZones" vbProcedure="false">_lists_Validation!$E$2:$E$6</definedName>
    <definedName function="false" hidden="false" name="rngTransactionDirection" vbProcedure="false">_lists_Validation!$I$2:$I$3</definedName>
    <definedName function="false" hidden="false" name="rngWeekStart" vbProcedure="false">_lists_Validation!$D$2:$D$3</definedName>
    <definedName function="false" hidden="false" name="VendorNameList" vbProcedure="false">tbl_Vendors[VendorName]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<sst xmlns="http://schemas.openxmlformats.org/spreadsheetml/2006/main" count="644" uniqueCount="387">
  <si>
    <t xml:space="preserve">Home</t>
  </si>
  <si>
    <t xml:space="preserve">Quick Add</t>
  </si>
  <si>
    <t xml:space="preserve">Bills</t>
  </si>
  <si>
    <t xml:space="preserve">Clients</t>
  </si>
  <si>
    <t xml:space="preserve">Goals</t>
  </si>
  <si>
    <t xml:space="preserve">Insights</t>
  </si>
  <si>
    <t xml:space="preserve">Business health</t>
  </si>
  <si>
    <t xml:space="preserve">Money in this month</t>
  </si>
  <si>
    <t xml:space="preserve">Money out this month</t>
  </si>
  <si>
    <t xml:space="preserve">Needs attention</t>
  </si>
  <si>
    <t xml:space="preserve">This week</t>
  </si>
  <si>
    <t xml:space="preserve">Riverside Design Studio</t>
  </si>
  <si>
    <t xml:space="preserve">Settings</t>
  </si>
  <si>
    <t xml:space="preserve">Business information</t>
  </si>
  <si>
    <t xml:space="preserve">Business name</t>
  </si>
  <si>
    <t xml:space="preserve">Owner name (optional)</t>
  </si>
  <si>
    <t xml:space="preserve">Industry</t>
  </si>
  <si>
    <t xml:space="preserve">Freelance</t>
  </si>
  <si>
    <t xml:space="preserve">Currency</t>
  </si>
  <si>
    <t xml:space="preserve">USD</t>
  </si>
  <si>
    <t xml:space="preserve">Fiscal year start</t>
  </si>
  <si>
    <t xml:space="preserve">January</t>
  </si>
  <si>
    <t xml:space="preserve">Time zone</t>
  </si>
  <si>
    <t xml:space="preserve">America/New_York</t>
  </si>
  <si>
    <t xml:space="preserve">Appearance</t>
  </si>
  <si>
    <t xml:space="preserve">Theme</t>
  </si>
  <si>
    <t xml:space="preserve">Light</t>
  </si>
  <si>
    <t xml:space="preserve">Accent color</t>
  </si>
  <si>
    <t xml:space="preserve">Set by product (not user-editable in V1)</t>
  </si>
  <si>
    <t xml:space="preserve">Logo</t>
  </si>
  <si>
    <t xml:space="preserve">No logo uploaded</t>
  </si>
  <si>
    <t xml:space="preserve">Preferences</t>
  </si>
  <si>
    <t xml:space="preserve">Default date format</t>
  </si>
  <si>
    <t xml:space="preserve">MM/DD/YYYY</t>
  </si>
  <si>
    <t xml:space="preserve">Week start</t>
  </si>
  <si>
    <t xml:space="preserve">Sunday</t>
  </si>
  <si>
    <t xml:space="preserve">Number format</t>
  </si>
  <si>
    <t xml:space="preserve">US format</t>
  </si>
  <si>
    <t xml:space="preserve">Product information</t>
  </si>
  <si>
    <t xml:space="preserve">Version</t>
  </si>
  <si>
    <t xml:space="preserve">Build number</t>
  </si>
  <si>
    <t xml:space="preserve">Last updated</t>
  </si>
  <si>
    <t xml:space="preserve">License</t>
  </si>
  <si>
    <t xml:space="preserve">What happened?</t>
  </si>
  <si>
    <t xml:space="preserve">Date</t>
  </si>
  <si>
    <t xml:space="preserve">Money direction</t>
  </si>
  <si>
    <t xml:space="preserve">Amount</t>
  </si>
  <si>
    <t xml:space="preserve">Category</t>
  </si>
  <si>
    <t xml:space="preserve">Vendor / client</t>
  </si>
  <si>
    <t xml:space="preserve">Description</t>
  </si>
  <si>
    <t xml:space="preserve">Notes (optional)</t>
  </si>
  <si>
    <t xml:space="preserve">Ready to save</t>
  </si>
  <si>
    <t xml:space="preserve">This part is a manual step for now: select the row below, copy it, then paste it (as values) into the first empty row of your Transactions log. A future version may remove this step. See the developer notes for why this is required today.</t>
  </si>
  <si>
    <t xml:space="preserve">TransactionID</t>
  </si>
  <si>
    <t xml:space="preserve">Direction</t>
  </si>
  <si>
    <t xml:space="preserve">CategoryID</t>
  </si>
  <si>
    <t xml:space="preserve">CustomerID</t>
  </si>
  <si>
    <t xml:space="preserve">VendorID</t>
  </si>
  <si>
    <t xml:space="preserve">RelatedInvoiceID</t>
  </si>
  <si>
    <t xml:space="preserve">RelatedBillID</t>
  </si>
  <si>
    <t xml:space="preserve">IsRecurring</t>
  </si>
  <si>
    <t xml:space="preserve">RecurrenceSourceID</t>
  </si>
  <si>
    <t xml:space="preserve">EntryMethod</t>
  </si>
  <si>
    <t xml:space="preserve">CreatedTimestamp</t>
  </si>
  <si>
    <t xml:space="preserve">QuickAdd</t>
  </si>
  <si>
    <t xml:space="preserve">Bills &amp; Subscriptions</t>
  </si>
  <si>
    <t xml:space="preserve">Upcoming &amp; overdue</t>
  </si>
  <si>
    <t xml:space="preserve">Vendor</t>
  </si>
  <si>
    <t xml:space="preserve">Due date</t>
  </si>
  <si>
    <t xml:space="preserve">Status</t>
  </si>
  <si>
    <t xml:space="preserve">Add a bill</t>
  </si>
  <si>
    <t xml:space="preserve">Recurring?</t>
  </si>
  <si>
    <t xml:space="preserve">Recurrence frequency</t>
  </si>
  <si>
    <t xml:space="preserve">Same manual step as Quick Add: select the row below, copy it, then paste it (as values) into the first empty row of your Bills table.</t>
  </si>
  <si>
    <t xml:space="preserve">BillID</t>
  </si>
  <si>
    <t xml:space="preserve">DueDate</t>
  </si>
  <si>
    <t xml:space="preserve">RecurrenceFrequency</t>
  </si>
  <si>
    <t xml:space="preserve">LinkedTransactionID</t>
  </si>
  <si>
    <t xml:space="preserve">Notes</t>
  </si>
  <si>
    <t xml:space="preserve">Clients &amp; Invoices</t>
  </si>
  <si>
    <t xml:space="preserve">Invoices</t>
  </si>
  <si>
    <t xml:space="preserve">Client</t>
  </si>
  <si>
    <t xml:space="preserve">Add an invoice</t>
  </si>
  <si>
    <t xml:space="preserve">Same manual step as Quick Add and Bills: select the row below, copy it, then paste it (as values) into the first empty row of your Invoices table.</t>
  </si>
  <si>
    <t xml:space="preserve">InvoiceID</t>
  </si>
  <si>
    <t xml:space="preserve">IssueDate</t>
  </si>
  <si>
    <t xml:space="preserve">PaidDate</t>
  </si>
  <si>
    <t xml:space="preserve">Your goals</t>
  </si>
  <si>
    <t xml:space="preserve">Goal</t>
  </si>
  <si>
    <t xml:space="preserve">Progress</t>
  </si>
  <si>
    <t xml:space="preserve">Target date</t>
  </si>
  <si>
    <t xml:space="preserve">Add a goal</t>
  </si>
  <si>
    <t xml:space="preserve">Goal name</t>
  </si>
  <si>
    <t xml:space="preserve">Goal type</t>
  </si>
  <si>
    <t xml:space="preserve">Target amount</t>
  </si>
  <si>
    <t xml:space="preserve">Target date (optional)</t>
  </si>
  <si>
    <t xml:space="preserve">Same manual step as Quick Add, Bills, and Clients: select the row below, copy it, then paste it (as values) into the first empty row of your Goals table. New goals start at $0 progress and Active status.</t>
  </si>
  <si>
    <t xml:space="preserve">GoalID</t>
  </si>
  <si>
    <t xml:space="preserve">GoalName</t>
  </si>
  <si>
    <t xml:space="preserve">GoalType</t>
  </si>
  <si>
    <t xml:space="preserve">TargetAmount</t>
  </si>
  <si>
    <t xml:space="preserve">CurrentAmount</t>
  </si>
  <si>
    <t xml:space="preserve">StartDate</t>
  </si>
  <si>
    <t xml:space="preserve">TargetDate</t>
  </si>
  <si>
    <t xml:space="preserve">IconTag</t>
  </si>
  <si>
    <t xml:space="preserve">Active</t>
  </si>
  <si>
    <t xml:space="preserve">flag</t>
  </si>
  <si>
    <t xml:space="preserve">TXN-000482</t>
  </si>
  <si>
    <t xml:space="preserve">Out</t>
  </si>
  <si>
    <t xml:space="preserve">CAT-007</t>
  </si>
  <si>
    <t xml:space="preserve">Coffee shop supplies</t>
  </si>
  <si>
    <t xml:space="preserve">VEN-007</t>
  </si>
  <si>
    <t xml:space="preserve">2026-07-08 09:14:22</t>
  </si>
  <si>
    <t xml:space="preserve">CategoryName</t>
  </si>
  <si>
    <t xml:space="preserve">IsSystemDefault</t>
  </si>
  <si>
    <t xml:space="preserve">IsArchived</t>
  </si>
  <si>
    <t xml:space="preserve">CAT-001</t>
  </si>
  <si>
    <t xml:space="preserve">Client payments</t>
  </si>
  <si>
    <t xml:space="preserve">In</t>
  </si>
  <si>
    <t xml:space="preserve">money-in</t>
  </si>
  <si>
    <t xml:space="preserve">CAT-002</t>
  </si>
  <si>
    <t xml:space="preserve">Product sales</t>
  </si>
  <si>
    <t xml:space="preserve">cart</t>
  </si>
  <si>
    <t xml:space="preserve">CAT-003</t>
  </si>
  <si>
    <t xml:space="preserve">Other income</t>
  </si>
  <si>
    <t xml:space="preserve">plus-circle</t>
  </si>
  <si>
    <t xml:space="preserve">CAT-004</t>
  </si>
  <si>
    <t xml:space="preserve">Rent</t>
  </si>
  <si>
    <t xml:space="preserve">building</t>
  </si>
  <si>
    <t xml:space="preserve">CAT-005</t>
  </si>
  <si>
    <t xml:space="preserve">Utilities</t>
  </si>
  <si>
    <t xml:space="preserve">bolt</t>
  </si>
  <si>
    <t xml:space="preserve">CAT-006</t>
  </si>
  <si>
    <t xml:space="preserve">Software subscriptions</t>
  </si>
  <si>
    <t xml:space="preserve">laptop</t>
  </si>
  <si>
    <t xml:space="preserve">Supplies</t>
  </si>
  <si>
    <t xml:space="preserve">box</t>
  </si>
  <si>
    <t xml:space="preserve">CAT-008</t>
  </si>
  <si>
    <t xml:space="preserve">Payroll</t>
  </si>
  <si>
    <t xml:space="preserve">users</t>
  </si>
  <si>
    <t xml:space="preserve">CAT-009</t>
  </si>
  <si>
    <t xml:space="preserve">Marketing</t>
  </si>
  <si>
    <t xml:space="preserve">megaphone</t>
  </si>
  <si>
    <t xml:space="preserve">CAT-010</t>
  </si>
  <si>
    <t xml:space="preserve">Insurance</t>
  </si>
  <si>
    <t xml:space="preserve">shield</t>
  </si>
  <si>
    <t xml:space="preserve">CAT-011</t>
  </si>
  <si>
    <t xml:space="preserve">Contractor payments</t>
  </si>
  <si>
    <t xml:space="preserve">briefcase</t>
  </si>
  <si>
    <t xml:space="preserve">CAT-012</t>
  </si>
  <si>
    <t xml:space="preserve">Other expenses</t>
  </si>
  <si>
    <t xml:space="preserve">dots</t>
  </si>
  <si>
    <t xml:space="preserve">VendorName</t>
  </si>
  <si>
    <t xml:space="preserve">Email</t>
  </si>
  <si>
    <t xml:space="preserve">Phone</t>
  </si>
  <si>
    <t xml:space="preserve">DefaultCategoryID</t>
  </si>
  <si>
    <t xml:space="preserve">City Wholesale Supplies</t>
  </si>
  <si>
    <t xml:space="preserve">orders@citywholesale.com</t>
  </si>
  <si>
    <t xml:space="preserve">555-0142</t>
  </si>
  <si>
    <t xml:space="preserve">BILL-0001</t>
  </si>
  <si>
    <t xml:space="preserve">Monthly</t>
  </si>
  <si>
    <t xml:space="preserve">Upcoming</t>
  </si>
  <si>
    <t xml:space="preserve">Software subscription</t>
  </si>
  <si>
    <t xml:space="preserve">BILL-0002</t>
  </si>
  <si>
    <t xml:space="preserve">None</t>
  </si>
  <si>
    <t xml:space="preserve">Overdue</t>
  </si>
  <si>
    <t xml:space="preserve">Supply order invoice</t>
  </si>
  <si>
    <t xml:space="preserve">CustomerName</t>
  </si>
  <si>
    <t xml:space="preserve">CUS-001</t>
  </si>
  <si>
    <t xml:space="preserve">Blue Harbor Cafe</t>
  </si>
  <si>
    <t xml:space="preserve">hello@blueharborcafe.com</t>
  </si>
  <si>
    <t xml:space="preserve">INV-0001</t>
  </si>
  <si>
    <t xml:space="preserve">Logo design project</t>
  </si>
  <si>
    <t xml:space="preserve">INV-0002</t>
  </si>
  <si>
    <t xml:space="preserve">Sent</t>
  </si>
  <si>
    <t xml:space="preserve">Website update</t>
  </si>
  <si>
    <t xml:space="preserve">GOAL-001</t>
  </si>
  <si>
    <t xml:space="preserve">Emergency Fund</t>
  </si>
  <si>
    <t xml:space="preserve">Savings</t>
  </si>
  <si>
    <t xml:space="preserve">BusinessName</t>
  </si>
  <si>
    <t xml:space="preserve">BusinessType</t>
  </si>
  <si>
    <t xml:space="preserve">FiscalYearStartMonth</t>
  </si>
  <si>
    <t xml:space="preserve">StartingCashBalance</t>
  </si>
  <si>
    <t xml:space="preserve">SetupCompletedDate</t>
  </si>
  <si>
    <t xml:space="preserve">LogoPlaceholder</t>
  </si>
  <si>
    <t xml:space="preserve">OwnerName</t>
  </si>
  <si>
    <t xml:space="preserve">TimeZone</t>
  </si>
  <si>
    <t xml:space="preserve">DateFormatPreference</t>
  </si>
  <si>
    <t xml:space="preserve">WeekStartDay</t>
  </si>
  <si>
    <t xml:space="preserve">InsightsEnabled</t>
  </si>
  <si>
    <t xml:space="preserve">CelebrationAnimationsEnabled</t>
  </si>
  <si>
    <t xml:space="preserve">DefaultInvoiceDueDays</t>
  </si>
  <si>
    <t xml:space="preserve">LastBriefingGeneratedDate</t>
  </si>
  <si>
    <t xml:space="preserve">AppVersion</t>
  </si>
  <si>
    <t xml:space="preserve">NumberFormat</t>
  </si>
  <si>
    <t xml:space="preserve">BuildNumber</t>
  </si>
  <si>
    <t xml:space="preserve">LastUpdated</t>
  </si>
  <si>
    <t xml:space="preserve">1.0.0</t>
  </si>
  <si>
    <t xml:space="preserve">2026.07.14-001</t>
  </si>
  <si>
    <t xml:space="preserve">Licensed to Riverside Design Studio</t>
  </si>
  <si>
    <t xml:space="preserve">Current Month</t>
  </si>
  <si>
    <t xml:space="preserve">Previous Month</t>
  </si>
  <si>
    <t xml:space="preserve">Money In This Month</t>
  </si>
  <si>
    <t xml:space="preserve">Money Out This Month</t>
  </si>
  <si>
    <t xml:space="preserve">Net Cash Flow</t>
  </si>
  <si>
    <t xml:space="preserve">Transaction Count</t>
  </si>
  <si>
    <t xml:space="preserve">Average Transaction</t>
  </si>
  <si>
    <t xml:space="preserve">SECTION 1: INPUTS (from _calc_Core only)</t>
  </si>
  <si>
    <t xml:space="preserve">Cash Runway (months) - TODO: not yet available, pending Cash Runway calc engine</t>
  </si>
  <si>
    <t xml:space="preserve">Overdue Bills Count - TODO: not yet available, pending Bills data layer</t>
  </si>
  <si>
    <t xml:space="preserve">Overdue Invoices Count - TODO: not yet available, pending Invoices data layer</t>
  </si>
  <si>
    <t xml:space="preserve">SECTION 2: INTERMEDIATE CALCULATIONS</t>
  </si>
  <si>
    <t xml:space="preserve">Has Activity This Month</t>
  </si>
  <si>
    <t xml:space="preserve">Cash Flow Ratio (Money In / Money Out)</t>
  </si>
  <si>
    <t xml:space="preserve">SECTION 3: THRESHOLD EVALUATION (weighted scoring)</t>
  </si>
  <si>
    <t xml:space="preserve">Cash Flow Score (0-50) - REAL</t>
  </si>
  <si>
    <t xml:space="preserve">Activity Score (0-10) - REAL</t>
  </si>
  <si>
    <t xml:space="preserve">Cash Runway Score (0-25) - PLACEHOLDER, not yet implemented</t>
  </si>
  <si>
    <t xml:space="preserve">Bills Score (0-10) - PLACEHOLDER, not yet implemented</t>
  </si>
  <si>
    <t xml:space="preserve">Invoice Score (0-5) - PLACEHOLDER, not yet implemented</t>
  </si>
  <si>
    <t xml:space="preserve">Partial Score (Cash Flow + Activity only - drives State today)</t>
  </si>
  <si>
    <t xml:space="preserve">Total Score (all 5 components - nominal 0-100, not yet meaningful)</t>
  </si>
  <si>
    <t xml:space="preserve">Health State (raw)</t>
  </si>
  <si>
    <t xml:space="preserve">Health Score (raw, -1 sentinel for Getting started)</t>
  </si>
  <si>
    <t xml:space="preserve">SECTION 4: OUTPUT VALUES</t>
  </si>
  <si>
    <t xml:space="preserve">Health State (final)</t>
  </si>
  <si>
    <t xml:space="preserve">Health Score (final)</t>
  </si>
  <si>
    <t xml:space="preserve">Health Title</t>
  </si>
  <si>
    <t xml:space="preserve">Health Subtitle</t>
  </si>
  <si>
    <t xml:space="preserve">Health Color</t>
  </si>
  <si>
    <t xml:space="preserve">Health Icon</t>
  </si>
  <si>
    <t xml:space="preserve">Reference: state lookup table (Section 4 support data)</t>
  </si>
  <si>
    <t xml:space="preserve">State</t>
  </si>
  <si>
    <t xml:space="preserve">Representative Score</t>
  </si>
  <si>
    <t xml:space="preserve">Title</t>
  </si>
  <si>
    <t xml:space="preserve">Subtitle</t>
  </si>
  <si>
    <t xml:space="preserve">Color</t>
  </si>
  <si>
    <t xml:space="preserve">Icon</t>
  </si>
  <si>
    <t xml:space="preserve">Getting started</t>
  </si>
  <si>
    <t xml:space="preserve">Log your first transaction to see your business health</t>
  </si>
  <si>
    <t xml:space="preserve">Neutral</t>
  </si>
  <si>
    <t xml:space="preserve">Critical</t>
  </si>
  <si>
    <t xml:space="preserve">Spending is significantly outpacing income this month</t>
  </si>
  <si>
    <t xml:space="preserve">alert-triangle</t>
  </si>
  <si>
    <t xml:space="preserve">Warning</t>
  </si>
  <si>
    <t xml:space="preserve">Caution</t>
  </si>
  <si>
    <t xml:space="preserve">Spending is higher than income this month</t>
  </si>
  <si>
    <t xml:space="preserve">alert-circle</t>
  </si>
  <si>
    <t xml:space="preserve">Fair</t>
  </si>
  <si>
    <t xml:space="preserve">Steady</t>
  </si>
  <si>
    <t xml:space="preserve">Income and spending are about even this month</t>
  </si>
  <si>
    <t xml:space="preserve">minus-circle</t>
  </si>
  <si>
    <t xml:space="preserve">Good</t>
  </si>
  <si>
    <t xml:space="preserve">Income is ahead of spending this month</t>
  </si>
  <si>
    <t xml:space="preserve">Success</t>
  </si>
  <si>
    <t xml:space="preserve">trending-up</t>
  </si>
  <si>
    <t xml:space="preserve">Excellent</t>
  </si>
  <si>
    <t xml:space="preserve">Income is well ahead of spending this month</t>
  </si>
  <si>
    <t xml:space="preserve">star</t>
  </si>
  <si>
    <t xml:space="preserve">Overdue Bills Count</t>
  </si>
  <si>
    <t xml:space="preserve">Overdue Invoices Count</t>
  </si>
  <si>
    <t xml:space="preserve">Upcoming Loan Payments - TODO: not yet available, pending Loans data layer</t>
  </si>
  <si>
    <t xml:space="preserve">SECTION 2: RULE EVALUATION</t>
  </si>
  <si>
    <t xml:space="preserve">RuleID</t>
  </si>
  <si>
    <t xml:space="preserve">Priority</t>
  </si>
  <si>
    <t xml:space="preserve">Fired</t>
  </si>
  <si>
    <t xml:space="preserve">Severity</t>
  </si>
  <si>
    <t xml:space="preserve">Source</t>
  </si>
  <si>
    <t xml:space="preserve">R1</t>
  </si>
  <si>
    <t xml:space="preserve">Get started</t>
  </si>
  <si>
    <t xml:space="preserve">No transactions logged yet this month. Add one to see your business health.</t>
  </si>
  <si>
    <t xml:space="preserve">Info</t>
  </si>
  <si>
    <t xml:space="preserve">_calc_Core</t>
  </si>
  <si>
    <t xml:space="preserve">R2</t>
  </si>
  <si>
    <t xml:space="preserve">No income logged</t>
  </si>
  <si>
    <t xml:space="preserve">You haven't logged any income this month yet.</t>
  </si>
  <si>
    <t xml:space="preserve">R3</t>
  </si>
  <si>
    <t xml:space="preserve">Spending more than you're making</t>
  </si>
  <si>
    <t xml:space="preserve">Your expenses this month are higher than your income so far.</t>
  </si>
  <si>
    <t xml:space="preserve">R4</t>
  </si>
  <si>
    <t xml:space="preserve">No expenses logged</t>
  </si>
  <si>
    <t xml:space="preserve">You've logged income this month but no expenses yet - worth double-checking you haven't missed any.</t>
  </si>
  <si>
    <t xml:space="preserve">info-circle</t>
  </si>
  <si>
    <t xml:space="preserve">R5</t>
  </si>
  <si>
    <t xml:space="preserve">Overdue bills</t>
  </si>
  <si>
    <t xml:space="preserve">tbl_Bills</t>
  </si>
  <si>
    <t xml:space="preserve">R6</t>
  </si>
  <si>
    <t xml:space="preserve">Overdue invoices</t>
  </si>
  <si>
    <t xml:space="preserve">tbl_Invoices</t>
  </si>
  <si>
    <t xml:space="preserve">R7</t>
  </si>
  <si>
    <t xml:space="preserve">TODO: Upcoming loan payment</t>
  </si>
  <si>
    <t xml:space="preserve">TODO: not yet available, pending Loans data layer</t>
  </si>
  <si>
    <t xml:space="preserve">TODO</t>
  </si>
  <si>
    <t xml:space="preserve">tbl_Loans (not yet built)</t>
  </si>
  <si>
    <t xml:space="preserve">SECTION 3: PRIORITY SORTING</t>
  </si>
  <si>
    <t xml:space="preserve">Slot 1 Priority</t>
  </si>
  <si>
    <t xml:space="preserve">Slot 2 Priority</t>
  </si>
  <si>
    <t xml:space="preserve">Slot 3 Priority</t>
  </si>
  <si>
    <t xml:space="preserve">Slot 4 Priority</t>
  </si>
  <si>
    <t xml:space="preserve">Slot 5 Priority</t>
  </si>
  <si>
    <t xml:space="preserve">Output Item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</si>
  <si>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</si>
  <si>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</si>
  <si>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</si>
  <si>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</si>
  <si>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</si>
  <si>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Count (total rules fired)</t>
  </si>
  <si>
    <t xml:space="preserve">Goal Progress</t>
  </si>
  <si>
    <t xml:space="preserve">Message</t>
  </si>
  <si>
    <t xml:space="preserve">InsightType</t>
  </si>
  <si>
    <t xml:space="preserve">SupportingValue</t>
  </si>
  <si>
    <t xml:space="preserve">Your biggest expense</t>
  </si>
  <si>
    <t xml:space="preserve">Spending Pattern</t>
  </si>
  <si>
    <t xml:space="preserve">bar-chart</t>
  </si>
  <si>
    <t xml:space="preserve">Your top vendor</t>
  </si>
  <si>
    <t xml:space="preserve">Vendor Pattern</t>
  </si>
  <si>
    <t xml:space="preserve">Income this month</t>
  </si>
  <si>
    <t xml:space="preserve">Summary</t>
  </si>
  <si>
    <t xml:space="preserve">Average transaction size</t>
  </si>
  <si>
    <t xml:space="preserve">activity</t>
  </si>
  <si>
    <t xml:space="preserve">Transactions logged</t>
  </si>
  <si>
    <t xml:space="preserve">Activity</t>
  </si>
  <si>
    <t xml:space="preserve">list</t>
  </si>
  <si>
    <t xml:space="preserve">Goal progress</t>
  </si>
  <si>
    <t xml:space="preserve">target</t>
  </si>
  <si>
    <t xml:space="preserve">SECTION 3: RANKING (Top 3)</t>
  </si>
  <si>
    <t xml:space="preserve">DisplayOrder</t>
  </si>
  <si>
    <t xml:space="preserve">Insight Item Count (total rules fired)</t>
  </si>
  <si>
    <t xml:space="preserve">SECTION 5: LOOKUP TABLES (support data)</t>
  </si>
  <si>
    <t xml:space="preserve">Category Spend This Month (helper)</t>
  </si>
  <si>
    <t xml:space="preserve">SpendThisMonth</t>
  </si>
  <si>
    <t xml:space="preserve">Vendor Spend This Month (helper)</t>
  </si>
  <si>
    <t xml:space="preserve">Top Category Name</t>
  </si>
  <si>
    <t xml:space="preserve">Top Category Amount</t>
  </si>
  <si>
    <t xml:space="preserve">Top Vendor Name</t>
  </si>
  <si>
    <t xml:space="preserve">Top Vendor Amount</t>
  </si>
  <si>
    <t xml:space="preserve">Primary Active Goal Name</t>
  </si>
  <si>
    <t xml:space="preserve">Primary Active Goal Target</t>
  </si>
  <si>
    <t xml:space="preserve">Primary Active Goal Current</t>
  </si>
  <si>
    <t xml:space="preserve">Primary Active Goal Progress %</t>
  </si>
  <si>
    <t xml:space="preserve">Month</t>
  </si>
  <si>
    <t xml:space="preserve">WeekStart</t>
  </si>
  <si>
    <t xml:space="preserve">DateFormat</t>
  </si>
  <si>
    <t xml:space="preserve">TransactionDirection</t>
  </si>
  <si>
    <t xml:space="preserve">CategoryDirection</t>
  </si>
  <si>
    <t xml:space="preserve">BooleanChoice</t>
  </si>
  <si>
    <t xml:space="preserve">BillStatus</t>
  </si>
  <si>
    <t xml:space="preserve">InvoiceStatus</t>
  </si>
  <si>
    <t xml:space="preserve">GoalStatus</t>
  </si>
  <si>
    <t xml:space="preserve">TRUE</t>
  </si>
  <si>
    <t xml:space="preserve">Weekly</t>
  </si>
  <si>
    <t xml:space="preserve">Draft</t>
  </si>
  <si>
    <t xml:space="preserve">GBP</t>
  </si>
  <si>
    <t xml:space="preserve">Retail</t>
  </si>
  <si>
    <t xml:space="preserve">February</t>
  </si>
  <si>
    <t xml:space="preserve">Monday</t>
  </si>
  <si>
    <t xml:space="preserve">America/Chicago</t>
  </si>
  <si>
    <t xml:space="preserve">DD/MM/YYYY</t>
  </si>
  <si>
    <t xml:space="preserve">European format</t>
  </si>
  <si>
    <t xml:space="preserve">FALSE</t>
  </si>
  <si>
    <t xml:space="preserve">Paid</t>
  </si>
  <si>
    <t xml:space="preserve">Revenue Target</t>
  </si>
  <si>
    <t xml:space="preserve">Achieved</t>
  </si>
  <si>
    <t xml:space="preserve">EUR</t>
  </si>
  <si>
    <t xml:space="preserve">Service</t>
  </si>
  <si>
    <t xml:space="preserve">March</t>
  </si>
  <si>
    <t xml:space="preserve">America/Denver</t>
  </si>
  <si>
    <t xml:space="preserve">Both</t>
  </si>
  <si>
    <t xml:space="preserve">Quarterly</t>
  </si>
  <si>
    <t xml:space="preserve">Debt Payoff</t>
  </si>
  <si>
    <t xml:space="preserve">Archived</t>
  </si>
  <si>
    <t xml:space="preserve">CAD</t>
  </si>
  <si>
    <t xml:space="preserve">Other</t>
  </si>
  <si>
    <t xml:space="preserve">April</t>
  </si>
  <si>
    <t xml:space="preserve">America/Los_Angeles</t>
  </si>
  <si>
    <t xml:space="preserve">Annually</t>
  </si>
  <si>
    <t xml:space="preserve">AUD</t>
  </si>
  <si>
    <t xml:space="preserve">May</t>
  </si>
  <si>
    <t xml:space="preserve">UTC</t>
  </si>
  <si>
    <t xml:space="preserve">Void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</si>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</sst>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\+0%;\-0%;0%"/>
    <numFmt numFmtId="167" formatCode="yyyy\-mm\-dd"/>
    <numFmt numFmtId="168" formatCode="mm/dd/yyyy"/>
    <numFmt numFmtId="169" formatCode="\$#,##0.00"/>
    <numFmt numFmtId="170" formatCode="General"/>
    <numFmt numFmtId="171" formatCode="mm/dd/yyyy\ hh:mm:ss"/>
    <numFmt numFmtId="172" formatCode="0"/>
    <numFmt numFmtId="173" formatCode="0.00"/>
    <numFmt numFmtId="174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6211C"/>
      <name val="Aptos"/>
      <family val="0"/>
      <charset val="1"/>
    </font>
    <font>
      <b val="true"/>
      <sz val="14"/>
      <color rgb="FF26211C"/>
      <name val="Aptos"/>
      <family val="0"/>
      <charset val="1"/>
    </font>
    <font>
      <sz val="14"/>
      <color rgb="FF5F5E5A"/>
      <name val="Aptos"/>
      <family val="0"/>
      <charset val="1"/>
    </font>
    <font>
      <b val="true"/>
      <sz val="22"/>
      <color rgb="FF26211C"/>
      <name val="Aptos"/>
      <family val="0"/>
      <charset val="1"/>
    </font>
    <font>
      <sz val="12"/>
      <color rgb="FF5F5E5A"/>
      <name val="Aptos"/>
      <family val="0"/>
      <charset val="1"/>
    </font>
    <font>
      <b val="true"/>
      <sz val="32"/>
      <color rgb="FF26211C"/>
      <name val="Aptos"/>
      <family val="0"/>
      <charset val="1"/>
    </font>
    <font>
      <b val="true"/>
      <sz val="24"/>
      <color rgb="FF26211C"/>
      <name val="Aptos"/>
      <family val="0"/>
      <charset val="1"/>
    </font>
    <font>
      <sz val="14"/>
      <color rgb="FF26211C"/>
      <name val="Aptos"/>
      <family val="0"/>
      <charset val="1"/>
    </font>
    <font>
      <sz val="13"/>
      <color rgb="FF5F5E5A"/>
      <name val="Aptos"/>
      <family val="0"/>
      <charset val="1"/>
    </font>
    <font>
      <sz val="14"/>
      <color rgb="FFB4B2A9"/>
      <name val="Aptos"/>
      <family val="0"/>
      <charset val="1"/>
    </font>
    <font>
      <b val="true"/>
      <sz val="9"/>
      <color rgb="FF26211C"/>
      <name val="Aptos"/>
      <family val="0"/>
      <charset val="1"/>
    </font>
    <font>
      <sz val="9"/>
      <color rgb="FF26211C"/>
      <name val="Aptos"/>
      <family val="0"/>
      <charset val="1"/>
    </font>
    <font>
      <b val="true"/>
      <sz val="11"/>
      <color rgb="FF5F5E5A"/>
      <name val="Aptos"/>
      <family val="0"/>
      <charset val="1"/>
    </font>
    <font>
      <sz val="12"/>
      <color rgb="FF26211C"/>
      <name val="Aptos"/>
      <family val="0"/>
      <charset val="1"/>
    </font>
    <font>
      <b val="true"/>
      <sz val="11"/>
      <color rgb="FF26211C"/>
      <name val="Aptos"/>
      <family val="0"/>
      <charset val="1"/>
    </font>
    <font>
      <b val="true"/>
      <sz val="12"/>
      <color rgb="FF26211C"/>
      <name val="Aptos"/>
      <family val="0"/>
      <charset val="1"/>
    </font>
    <font>
      <sz val="11"/>
      <color rgb="FF26211C"/>
      <name val="Aptos"/>
      <family val="0"/>
      <charset val="1"/>
    </font>
    <font>
      <sz val="10"/>
      <color rgb="FF26211C"/>
      <name val="Aptos"/>
      <family val="0"/>
      <charset val="1"/>
    </font>
    <font>
      <b val="true"/>
      <sz val="10"/>
      <color rgb="FF26211C"/>
      <name val="Apto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7F6F2"/>
        <bgColor rgb="FFFBFAF7"/>
      </patternFill>
    </fill>
    <fill>
      <patternFill patternType="solid">
        <fgColor rgb="FFFFFFFF"/>
        <bgColor rgb="FFFBFAF7"/>
      </patternFill>
    </fill>
    <fill>
      <patternFill patternType="solid">
        <fgColor rgb="FFFBFAF7"/>
        <bgColor rgb="FFF7F6F2"/>
      </patternFill>
    </fill>
    <fill>
      <patternFill patternType="solid">
        <fgColor rgb="FFEFEAE0"/>
        <bgColor rgb="FFF0E6D2"/>
      </patternFill>
    </fill>
    <fill>
      <patternFill patternType="solid">
        <fgColor rgb="FFE4E2DA"/>
        <bgColor rgb="FFF0E6D2"/>
      </patternFill>
    </fill>
    <fill>
      <patternFill patternType="solid">
        <fgColor rgb="FFD9D6C9"/>
        <bgColor rgb="FFE4E2DA"/>
      </patternFill>
    </fill>
    <fill>
      <patternFill patternType="solid">
        <fgColor rgb="FFF0E6D2"/>
        <bgColor rgb="FFEFEAE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E2DA"/>
      </bottom>
      <diagonal/>
    </border>
    <border diagonalUp="false" diagonalDown="false">
      <left style="thin">
        <color rgb="FFE4E2DA"/>
      </left>
      <right style="thin">
        <color rgb="FFE4E2DA"/>
      </right>
      <top style="thin">
        <color rgb="FFE4E2DA"/>
      </top>
      <bottom/>
      <diagonal/>
    </border>
    <border diagonalUp="false" diagonalDown="false">
      <left style="thin">
        <color rgb="FFE4E2DA"/>
      </left>
      <right/>
      <top/>
      <bottom style="thin">
        <color rgb="FFE4E2DA"/>
      </bottom>
      <diagonal/>
    </border>
    <border diagonalUp="false" diagonalDown="false">
      <left/>
      <right style="thin">
        <color rgb="FFE4E2DA"/>
      </right>
      <top/>
      <bottom style="thin">
        <color rgb="FFE4E2DA"/>
      </bottom>
      <diagonal/>
    </border>
    <border diagonalUp="false" diagonalDown="false">
      <left style="thin">
        <color rgb="FFE4E2DA"/>
      </left>
      <right/>
      <top/>
      <bottom/>
      <diagonal/>
    </border>
    <border diagonalUp="false" diagonalDown="false">
      <left/>
      <right style="thin">
        <color rgb="FFE4E2DA"/>
      </right>
      <top/>
      <bottom/>
      <diagonal/>
    </border>
    <border diagonalUp="false" diagonalDown="false">
      <left style="thin">
        <color rgb="FFE4E2DA"/>
      </left>
      <right style="thin">
        <color rgb="FFE4E2DA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3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9" fontId="11" fillId="3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3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ptos"/>
        <charset val="1"/>
        <family val="0"/>
        <b val="1"/>
        <color rgb="FF3B6D11"/>
        <sz val="32"/>
      </font>
    </dxf>
    <dxf>
      <font>
        <name val="Aptos"/>
        <charset val="1"/>
        <family val="0"/>
        <b val="1"/>
        <color rgb="FF854F0B"/>
        <sz val="32"/>
      </font>
    </dxf>
    <dxf>
      <font>
        <name val="Aptos"/>
        <charset val="1"/>
        <family val="0"/>
        <b val="1"/>
        <color rgb="FF791F1F"/>
        <sz val="32"/>
      </font>
    </dxf>
    <dxf>
      <font>
        <name val="Aptos"/>
        <charset val="1"/>
        <family val="0"/>
        <b val="1"/>
        <color rgb="FF26211C"/>
        <sz val="32"/>
      </font>
    </dxf>
    <dxf>
      <font>
        <name val="Aptos"/>
        <charset val="1"/>
        <family val="0"/>
        <color rgb="FF3B6D11"/>
        <sz val="12"/>
      </font>
    </dxf>
    <dxf>
      <font>
        <name val="Aptos"/>
        <charset val="1"/>
        <family val="0"/>
        <color rgb="FF791F1F"/>
        <sz val="12"/>
      </font>
    </dxf>
    <dxf>
      <fill>
        <patternFill patternType="solid">
          <fgColor rgb="FFE4E2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621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3B6D11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BFAF7"/>
      <rgbColor rgb="FFF7F6F2"/>
      <rgbColor rgb="FF660066"/>
      <rgbColor rgb="FFFF8080"/>
      <rgbColor rgb="FF0066CC"/>
      <rgbColor rgb="FFD9D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2DA"/>
      <rgbColor rgb="FFEFEAE0"/>
      <rgbColor rgb="FFF0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854F0B"/>
      <rgbColor rgb="FF993366"/>
      <rgbColor rgb="FF333399"/>
      <rgbColor rgb="FF2621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Bills" displayName="tbl_Bills" ref="A1:I3" headerRowCount="1" totalsRowCount="0" totalsRowShown="0">
  <autoFilter ref="A1:I3"/>
  <tableColumns count="9">
    <tableColumn id="1" name="BillID"/>
    <tableColumn id="2" name="VendorID"/>
    <tableColumn id="3" name="Amount"/>
    <tableColumn id="4" name="DueDate"/>
    <tableColumn id="5" name="IsRecurring"/>
    <tableColumn id="6" name="RecurrenceFrequency"/>
    <tableColumn id="7" name="Status"/>
    <tableColumn id="8" name="LinkedTransactionID"/>
    <tableColumn id="9" name="Notes"/>
  </tableColumns>
</table>
</file>

<file path=xl/tables/table2.xml><?xml version="1.0" encoding="utf-8"?>
<table xmlns="http://schemas.openxmlformats.org/spreadsheetml/2006/main" id="2" name="tbl_BusinessProfile" displayName="tbl_BusinessProfile" ref="A1:I2" headerRowCount="1" totalsRowCount="0" totalsRowShown="0">
  <autoFilter ref="A1:I2"/>
  <tableColumns count="9">
    <tableColumn id="1" name="BusinessName"/>
    <tableColumn id="2" name="BusinessType"/>
    <tableColumn id="3" name="FiscalYearStartMonth"/>
    <tableColumn id="4" name="Currency"/>
    <tableColumn id="5" name="StartingCashBalance"/>
    <tableColumn id="6" name="SetupCompletedDate"/>
    <tableColumn id="7" name="LogoPlaceholder"/>
    <tableColumn id="8" name="OwnerName"/>
    <tableColumn id="9" name="TimeZone"/>
  </tableColumns>
</table>
</file>

<file path=xl/tables/table3.xml><?xml version="1.0" encoding="utf-8"?>
<table xmlns="http://schemas.openxmlformats.org/spreadsheetml/2006/main" id="3" name="tbl_Categories" displayName="tbl_Categories" ref="A1:F13" headerRowCount="1" totalsRowCount="0" totalsRowShown="0">
  <autoFilter ref="A1:F13"/>
  <tableColumns count="6">
    <tableColumn id="1" name="CategoryID"/>
    <tableColumn id="2" name="CategoryName"/>
    <tableColumn id="3" name="Direction"/>
    <tableColumn id="4" name="IsSystemDefault"/>
    <tableColumn id="5" name="IsArchived"/>
    <tableColumn id="6" name="IconTag"/>
  </tableColumns>
</table>
</file>

<file path=xl/tables/table4.xml><?xml version="1.0" encoding="utf-8"?>
<table xmlns="http://schemas.openxmlformats.org/spreadsheetml/2006/main" id="4" name="tbl_Customers" displayName="tbl_Customers" ref="A1:F2" headerRowCount="1" totalsRowCount="0" totalsRowShown="0">
  <autoFilter ref="A1:F2"/>
  <tableColumns count="6">
    <tableColumn id="1" name="CustomerID"/>
    <tableColumn id="2" name="CustomerName"/>
    <tableColumn id="3" name="Email"/>
    <tableColumn id="4" name="Phone"/>
    <tableColumn id="5" name="Notes"/>
    <tableColumn id="6" name="IsArchived"/>
  </tableColumns>
</table>
</file>

<file path=xl/tables/table5.xml><?xml version="1.0" encoding="utf-8"?>
<table xmlns="http://schemas.openxmlformats.org/spreadsheetml/2006/main" id="5" name="tbl_Goals" displayName="tbl_Goals" ref="A1:I2" headerRowCount="1" totalsRowCount="0" totalsRowShown="0">
  <autoFilter ref="A1:I2"/>
  <tableColumns count="9">
    <tableColumn id="1" name="GoalID"/>
    <tableColumn id="2" name="GoalName"/>
    <tableColumn id="3" name="GoalType"/>
    <tableColumn id="4" name="TargetAmount"/>
    <tableColumn id="5" name="CurrentAmount"/>
    <tableColumn id="6" name="StartDate"/>
    <tableColumn id="7" name="TargetDate"/>
    <tableColumn id="8" name="Status"/>
    <tableColumn id="9" name="IconTag"/>
  </tableColumns>
</table>
</file>

<file path=xl/tables/table6.xml><?xml version="1.0" encoding="utf-8"?>
<table xmlns="http://schemas.openxmlformats.org/spreadsheetml/2006/main" id="6" name="tbl_Invoices" displayName="tbl_Invoices" ref="A1:I3" headerRowCount="1" totalsRowCount="0" totalsRowShown="0">
  <autoFilter ref="A1:I3"/>
  <tableColumns count="9">
    <tableColumn id="1" name="InvoiceID"/>
    <tableColumn id="2" name="CustomerID"/>
    <tableColumn id="3" name="IssueDate"/>
    <tableColumn id="4" name="DueDate"/>
    <tableColumn id="5" name="Amount"/>
    <tableColumn id="6" name="Status"/>
    <tableColumn id="7" name="PaidDate"/>
    <tableColumn id="8" name="LinkedTransactionID"/>
    <tableColumn id="9" name="Notes"/>
  </tableColumns>
</table>
</file>

<file path=xl/tables/table7.xml><?xml version="1.0" encoding="utf-8"?>
<table xmlns="http://schemas.openxmlformats.org/spreadsheetml/2006/main" id="7" name="tbl_Settings" displayName="tbl_Settings" ref="A1:L2" headerRowCount="1" totalsRowCount="0" totalsRowShown="0">
  <autoFilter ref="A1:L2"/>
  <tableColumns count="12">
    <tableColumn id="1" name="DateFormatPreference"/>
    <tableColumn id="2" name="WeekStartDay"/>
    <tableColumn id="3" name="InsightsEnabled"/>
    <tableColumn id="4" name="CelebrationAnimationsEnabled"/>
    <tableColumn id="5" name="DefaultInvoiceDueDays"/>
    <tableColumn id="6" name="LastBriefingGeneratedDate"/>
    <tableColumn id="7" name="AppVersion"/>
    <tableColumn id="8" name="NumberFormat"/>
    <tableColumn id="9" name="Theme"/>
    <tableColumn id="10" name="BuildNumber"/>
    <tableColumn id="11" name="LastUpdated"/>
    <tableColumn id="12" name="License"/>
  </tableColumns>
</table>
</file>

<file path=xl/tables/table8.xml><?xml version="1.0" encoding="utf-8"?>
<table xmlns="http://schemas.openxmlformats.org/spreadsheetml/2006/main" id="8" name="tbl_Transactions" displayName="tbl_Transactions" ref="A1:N2" headerRowCount="1" totalsRowCount="0" totalsRowShown="0">
  <autoFilter ref="A1:N2"/>
  <tableColumns count="14">
    <tableColumn id="1" name="TransactionID"/>
    <tableColumn id="2" name="Date"/>
    <tableColumn id="3" name="Direction"/>
    <tableColumn id="4" name="Amount"/>
    <tableColumn id="5" name="CategoryID"/>
    <tableColumn id="6" name="Description"/>
    <tableColumn id="7" name="CustomerID"/>
    <tableColumn id="8" name="VendorID"/>
    <tableColumn id="9" name="RelatedInvoiceID"/>
    <tableColumn id="10" name="RelatedBillID"/>
    <tableColumn id="11" name="IsRecurring"/>
    <tableColumn id="12" name="RecurrenceSourceID"/>
    <tableColumn id="13" name="EntryMethod"/>
    <tableColumn id="14" name="CreatedTimestamp"/>
  </tableColumns>
</table>
</file>

<file path=xl/tables/table9.xml><?xml version="1.0" encoding="utf-8"?>
<table xmlns="http://schemas.openxmlformats.org/spreadsheetml/2006/main" id="9" name="tbl_Vendors" displayName="tbl_Vendors" ref="A1:G2" headerRowCount="1" totalsRowCount="0" totalsRowShown="0">
  <autoFilter ref="A1:G2"/>
  <tableColumns count="7">
    <tableColumn id="1" name="VendorID"/>
    <tableColumn id="2" name="VendorName"/>
    <tableColumn id="3" name="Email"/>
    <tableColumn id="4" name="Phone"/>
    <tableColumn id="5" name="DefaultCategoryID"/>
    <tableColumn id="6" name="Notes"/>
    <tableColumn id="7" name="IsArchiv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ome!A1" TargetMode="External"/><Relationship Id="rId2" Type="http://schemas.openxmlformats.org/officeDocument/2006/relationships/hyperlink" Target="&apos;Quick%20Add&apos;!A1" TargetMode="External"/><Relationship Id="rId3" Type="http://schemas.openxmlformats.org/officeDocument/2006/relationships/hyperlink" Target="Bills!A1" TargetMode="External"/><Relationship Id="rId4" Type="http://schemas.openxmlformats.org/officeDocument/2006/relationships/hyperlink" Target="Clients!A1" TargetMode="External"/><Relationship Id="rId5" Type="http://schemas.openxmlformats.org/officeDocument/2006/relationships/hyperlink" Target="Goals!A1" TargetMode="External"/><Relationship Id="rId6" Type="http://schemas.openxmlformats.org/officeDocument/2006/relationships/hyperlink" Target="Home!A1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ome!A1" TargetMode="External"/><Relationship Id="rId2" Type="http://schemas.openxmlformats.org/officeDocument/2006/relationships/hyperlink" Target="&apos;Quick%20Add&apos;!A1" TargetMode="External"/><Relationship Id="rId3" Type="http://schemas.openxmlformats.org/officeDocument/2006/relationships/hyperlink" Target="Bills!A1" TargetMode="External"/><Relationship Id="rId4" Type="http://schemas.openxmlformats.org/officeDocument/2006/relationships/hyperlink" Target="Clients!A1" TargetMode="External"/><Relationship Id="rId5" Type="http://schemas.openxmlformats.org/officeDocument/2006/relationships/hyperlink" Target="Goals!A1" TargetMode="External"/><Relationship Id="rId6" Type="http://schemas.openxmlformats.org/officeDocument/2006/relationships/hyperlink" Target="Home!A1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ome!A1" TargetMode="External"/><Relationship Id="rId2" Type="http://schemas.openxmlformats.org/officeDocument/2006/relationships/hyperlink" Target="&apos;Quick%20Add&apos;!A1" TargetMode="External"/><Relationship Id="rId3" Type="http://schemas.openxmlformats.org/officeDocument/2006/relationships/hyperlink" Target="Bills!A1" TargetMode="External"/><Relationship Id="rId4" Type="http://schemas.openxmlformats.org/officeDocument/2006/relationships/hyperlink" Target="Clients!A1" TargetMode="External"/><Relationship Id="rId5" Type="http://schemas.openxmlformats.org/officeDocument/2006/relationships/hyperlink" Target="Goals!A1" TargetMode="External"/><Relationship Id="rId6" Type="http://schemas.openxmlformats.org/officeDocument/2006/relationships/hyperlink" Target="Home!A1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ome!A1" TargetMode="External"/><Relationship Id="rId2" Type="http://schemas.openxmlformats.org/officeDocument/2006/relationships/hyperlink" Target="&apos;Quick%20Add&apos;!A1" TargetMode="External"/><Relationship Id="rId3" Type="http://schemas.openxmlformats.org/officeDocument/2006/relationships/hyperlink" Target="Bills!A1" TargetMode="External"/><Relationship Id="rId4" Type="http://schemas.openxmlformats.org/officeDocument/2006/relationships/hyperlink" Target="Clients!A1" TargetMode="External"/><Relationship Id="rId5" Type="http://schemas.openxmlformats.org/officeDocument/2006/relationships/hyperlink" Target="Goals!A1" TargetMode="External"/><Relationship Id="rId6" Type="http://schemas.openxmlformats.org/officeDocument/2006/relationships/hyperlink" Target="Home!A1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ome!A1" TargetMode="External"/><Relationship Id="rId2" Type="http://schemas.openxmlformats.org/officeDocument/2006/relationships/hyperlink" Target="&apos;Quick%20Add&apos;!A1" TargetMode="External"/><Relationship Id="rId3" Type="http://schemas.openxmlformats.org/officeDocument/2006/relationships/hyperlink" Target="Bills!A1" TargetMode="External"/><Relationship Id="rId4" Type="http://schemas.openxmlformats.org/officeDocument/2006/relationships/hyperlink" Target="Clients!A1" TargetMode="External"/><Relationship Id="rId5" Type="http://schemas.openxmlformats.org/officeDocument/2006/relationships/hyperlink" Target="Goals!A1" TargetMode="External"/><Relationship Id="rId6" Type="http://schemas.openxmlformats.org/officeDocument/2006/relationships/hyperlink" Target="Home!A1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ome!A1" TargetMode="External"/><Relationship Id="rId2" Type="http://schemas.openxmlformats.org/officeDocument/2006/relationships/hyperlink" Target="&apos;Quick%20Add&apos;!A1" TargetMode="External"/><Relationship Id="rId3" Type="http://schemas.openxmlformats.org/officeDocument/2006/relationships/hyperlink" Target="Bills!A1" TargetMode="External"/><Relationship Id="rId4" Type="http://schemas.openxmlformats.org/officeDocument/2006/relationships/hyperlink" Target="Clients!A1" TargetMode="External"/><Relationship Id="rId5" Type="http://schemas.openxmlformats.org/officeDocument/2006/relationships/hyperlink" Target="Goals!A1" TargetMode="External"/><Relationship Id="rId6" Type="http://schemas.openxmlformats.org/officeDocument/2006/relationships/hyperlink" Target="Home!A1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4" min="2" style="1" width="12"/>
    <col collapsed="false" customWidth="true" hidden="false" outlineLevel="0" max="5" min="5" style="1" width="2"/>
    <col collapsed="false" customWidth="true" hidden="false" outlineLevel="0" max="8" min="6" style="1" width="12"/>
    <col collapsed="false" customWidth="true" hidden="false" outlineLevel="0" max="9" min="9" style="1" width="2"/>
    <col collapsed="false" customWidth="true" hidden="false" outlineLevel="0" max="13" min="10" style="1" width="12"/>
    <col collapsed="false" customWidth="true" hidden="false" outlineLevel="0" max="14" min="14" style="1" width="3.5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9.75" hidden="false" customHeight="true" outlineLevel="0" collapsed="false">
      <c r="A2" s="3"/>
      <c r="B2" s="4" t="str">
        <f aca="false">CurrentBusinessName</f>
        <v>Riverside Design Studio</v>
      </c>
      <c r="C2" s="4"/>
      <c r="D2" s="4"/>
      <c r="E2" s="3"/>
      <c r="F2" s="5" t="s">
        <v>0</v>
      </c>
      <c r="G2" s="6" t="s">
        <v>1</v>
      </c>
      <c r="H2" s="6" t="s">
        <v>2</v>
      </c>
      <c r="I2" s="3"/>
      <c r="J2" s="6" t="s">
        <v>3</v>
      </c>
      <c r="K2" s="6" t="s">
        <v>4</v>
      </c>
      <c r="L2" s="6" t="s">
        <v>5</v>
      </c>
      <c r="M2" s="3"/>
      <c r="N2" s="3"/>
    </row>
    <row r="3" customFormat="false" ht="12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2"/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9.5" hidden="false" customHeight="true" outlineLevel="0" collapsed="false">
      <c r="A6" s="2"/>
      <c r="B6" s="8" t="s">
        <v>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"/>
    </row>
    <row r="7" customFormat="false" ht="55.5" hidden="false" customHeight="true" outlineLevel="0" collapsed="false">
      <c r="A7" s="2"/>
      <c r="B7" s="9" t="str">
        <f aca="false">calcHealthTitle</f>
        <v>Needs attention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2"/>
    </row>
    <row r="8" customFormat="false" ht="18" hidden="false" customHeight="true" outlineLevel="0" collapsed="false">
      <c r="A8" s="2"/>
      <c r="B8" s="8" t="str">
        <f aca="false">calcHealthSubtitle</f>
        <v>Spending is significantly outpacing income this month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2"/>
    </row>
    <row r="9" customFormat="false" ht="24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8" hidden="false" customHeight="true" outlineLevel="0" collapsed="false">
      <c r="A10" s="2"/>
      <c r="B10" s="10" t="s">
        <v>7</v>
      </c>
      <c r="C10" s="10"/>
      <c r="D10" s="10"/>
      <c r="E10" s="2"/>
      <c r="F10" s="10" t="s">
        <v>8</v>
      </c>
      <c r="G10" s="10"/>
      <c r="H10" s="10"/>
      <c r="I10" s="2"/>
      <c r="J10" s="2"/>
      <c r="K10" s="2"/>
      <c r="L10" s="2"/>
      <c r="M10" s="2"/>
      <c r="N10" s="2"/>
    </row>
    <row r="11" customFormat="false" ht="31.5" hidden="false" customHeight="true" outlineLevel="0" collapsed="false">
      <c r="A11" s="2"/>
      <c r="B11" s="11" t="n">
        <f aca="false">calcMoneyInThisMonth</f>
        <v>0</v>
      </c>
      <c r="C11" s="11"/>
      <c r="D11" s="11"/>
      <c r="E11" s="2"/>
      <c r="F11" s="11" t="n">
        <f aca="false">calcMoneyOutThisMonth</f>
        <v>45</v>
      </c>
      <c r="G11" s="11"/>
      <c r="H11" s="11"/>
      <c r="I11" s="2"/>
      <c r="J11" s="2"/>
      <c r="K11" s="2"/>
      <c r="L11" s="2"/>
      <c r="M11" s="2"/>
      <c r="N11" s="2"/>
    </row>
    <row r="12" customFormat="false" ht="18" hidden="false" customHeight="true" outlineLevel="0" collapsed="false">
      <c r="A12" s="2"/>
      <c r="B12" s="12"/>
      <c r="C12" s="12"/>
      <c r="D12" s="12"/>
      <c r="E12" s="2"/>
      <c r="F12" s="12"/>
      <c r="G12" s="12"/>
      <c r="H12" s="12"/>
      <c r="I12" s="2"/>
      <c r="J12" s="2"/>
      <c r="K12" s="2"/>
      <c r="L12" s="2"/>
      <c r="M12" s="2"/>
      <c r="N12" s="2"/>
    </row>
    <row r="13" customFormat="false" ht="15.75" hidden="false" customHeight="true" outlineLevel="0" collapsed="false">
      <c r="A13" s="2"/>
      <c r="B13" s="13"/>
      <c r="C13" s="13"/>
      <c r="D13" s="13"/>
      <c r="E13" s="2"/>
      <c r="F13" s="13"/>
      <c r="G13" s="13"/>
      <c r="H13" s="13"/>
      <c r="I13" s="2"/>
      <c r="J13" s="2"/>
      <c r="K13" s="2"/>
      <c r="L13" s="2"/>
      <c r="M13" s="2"/>
      <c r="N13" s="2"/>
    </row>
    <row r="14" customFormat="false" ht="12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9.5" hidden="false" customHeight="true" outlineLevel="0" collapsed="false">
      <c r="A15" s="2"/>
      <c r="B15" s="14" t="s">
        <v>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"/>
    </row>
    <row r="16" customFormat="false" ht="18" hidden="false" customHeight="true" outlineLevel="0" collapsed="false">
      <c r="A16" s="2"/>
      <c r="B16" s="15" t="str">
        <f aca="false">AttentionItem1Title</f>
        <v>No income logged</v>
      </c>
      <c r="C16" s="3"/>
      <c r="D16" s="3"/>
      <c r="E16" s="3"/>
      <c r="F16" s="3"/>
      <c r="G16" s="3"/>
      <c r="H16" s="3"/>
      <c r="I16" s="3"/>
      <c r="J16" s="16" t="str">
        <f aca="false">AttentionItem1Severity</f>
        <v>Critical</v>
      </c>
      <c r="K16" s="3"/>
      <c r="L16" s="3"/>
      <c r="M16" s="17"/>
      <c r="N16" s="2"/>
    </row>
    <row r="17" customFormat="false" ht="18" hidden="false" customHeight="true" outlineLevel="0" collapsed="false">
      <c r="A17" s="2"/>
      <c r="B17" s="15" t="str">
        <f aca="false">AttentionItem2Title</f>
        <v>Overdue bills</v>
      </c>
      <c r="C17" s="3"/>
      <c r="D17" s="3"/>
      <c r="E17" s="3"/>
      <c r="F17" s="3"/>
      <c r="G17" s="3"/>
      <c r="H17" s="3"/>
      <c r="I17" s="3"/>
      <c r="J17" s="16" t="str">
        <f aca="false">AttentionItem2Severity</f>
        <v>Critical</v>
      </c>
      <c r="K17" s="3"/>
      <c r="L17" s="3"/>
      <c r="M17" s="17"/>
      <c r="N17" s="2"/>
    </row>
    <row r="18" customFormat="false" ht="18" hidden="false" customHeight="true" outlineLevel="0" collapsed="false">
      <c r="A18" s="2"/>
      <c r="B18" s="15" t="str">
        <f aca="false">AttentionItem3Title</f>
        <v>Overdue invoices</v>
      </c>
      <c r="C18" s="3"/>
      <c r="D18" s="3"/>
      <c r="E18" s="3"/>
      <c r="F18" s="3"/>
      <c r="G18" s="3"/>
      <c r="H18" s="3"/>
      <c r="I18" s="3"/>
      <c r="J18" s="16" t="str">
        <f aca="false">AttentionItem3Severity</f>
        <v>Critical</v>
      </c>
      <c r="K18" s="3"/>
      <c r="L18" s="3"/>
      <c r="M18" s="17"/>
      <c r="N18" s="2"/>
    </row>
    <row r="19" customFormat="false" ht="18" hidden="false" customHeight="true" outlineLevel="0" collapsed="false">
      <c r="A19" s="2"/>
      <c r="B19" s="15" t="str">
        <f aca="false">AttentionItem4Title</f>
        <v/>
      </c>
      <c r="C19" s="3"/>
      <c r="D19" s="3"/>
      <c r="E19" s="3"/>
      <c r="F19" s="3"/>
      <c r="G19" s="3"/>
      <c r="H19" s="3"/>
      <c r="I19" s="3"/>
      <c r="J19" s="16" t="str">
        <f aca="false">AttentionItem4Severity</f>
        <v/>
      </c>
      <c r="K19" s="3"/>
      <c r="L19" s="3"/>
      <c r="M19" s="17"/>
      <c r="N19" s="2"/>
    </row>
    <row r="20" customFormat="false" ht="18" hidden="false" customHeight="true" outlineLevel="0" collapsed="false">
      <c r="A20" s="2"/>
      <c r="B20" s="18" t="str">
        <f aca="false">AttentionItem5Title</f>
        <v/>
      </c>
      <c r="C20" s="19"/>
      <c r="D20" s="19"/>
      <c r="E20" s="19"/>
      <c r="F20" s="19"/>
      <c r="G20" s="19"/>
      <c r="H20" s="19"/>
      <c r="I20" s="19"/>
      <c r="J20" s="20" t="str">
        <f aca="false">AttentionItem5Severity</f>
        <v/>
      </c>
      <c r="K20" s="19"/>
      <c r="L20" s="19"/>
      <c r="M20" s="21"/>
      <c r="N20" s="2"/>
    </row>
    <row r="21" customFormat="false" ht="15.75" hidden="false" customHeight="true" outlineLevel="0" collapsed="false">
      <c r="A21" s="2"/>
      <c r="B21" s="22"/>
      <c r="C21" s="3"/>
      <c r="D21" s="3"/>
      <c r="E21" s="3"/>
      <c r="F21" s="3"/>
      <c r="G21" s="3"/>
      <c r="H21" s="3"/>
      <c r="I21" s="3"/>
      <c r="J21" s="3"/>
      <c r="K21" s="3"/>
      <c r="L21" s="3"/>
      <c r="M21" s="17"/>
      <c r="N21" s="2"/>
    </row>
    <row r="22" customFormat="false" ht="24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9.5" hidden="false" customHeight="true" outlineLevel="0" collapsed="false">
      <c r="A23" s="2"/>
      <c r="B23" s="14" t="s">
        <v>10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2"/>
    </row>
    <row r="24" customFormat="false" ht="18" hidden="false" customHeight="true" outlineLevel="0" collapsed="false">
      <c r="A24" s="2"/>
      <c r="B24" s="23" t="str">
        <f aca="false">_xlfn.TEXTJOIN(" ",TRUE(),InsightItem1Message,InsightItem2Message,InsightItem3Message)</f>
        <v>Your biggest expense this month was Supplies at $45. You paid City Wholesale Supplies more than anyone else this month, totaling $45. Your average transaction this month is $45.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"/>
    </row>
    <row r="25" customFormat="false" ht="18" hidden="false" customHeight="true" outlineLevel="0" collapsed="false">
      <c r="A25" s="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"/>
    </row>
    <row r="26" customFormat="false" ht="18" hidden="false" customHeight="true" outlineLevel="0" collapsed="false">
      <c r="A26" s="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"/>
    </row>
    <row r="27" customFormat="false" ht="15.75" hidden="false" customHeight="true" outlineLevel="0" collapsed="false">
      <c r="A27" s="2"/>
      <c r="B27" s="22"/>
      <c r="C27" s="3"/>
      <c r="D27" s="3"/>
      <c r="E27" s="3"/>
      <c r="F27" s="3"/>
      <c r="G27" s="3"/>
      <c r="H27" s="3"/>
      <c r="I27" s="3"/>
      <c r="J27" s="3"/>
      <c r="K27" s="3"/>
      <c r="L27" s="3"/>
      <c r="M27" s="17"/>
      <c r="N27" s="2"/>
    </row>
    <row r="28" customFormat="false" ht="31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</sheetData>
  <sheetProtection sheet="true" password="ecaf" formatCells="false" formatColumns="false" formatRows="false" insertColumns="false" insertRows="false" deleteColumns="false" deleteRows="false" sort="false" autoFilter="false"/>
  <mergeCells count="14">
    <mergeCell ref="B2:D2"/>
    <mergeCell ref="B4:M4"/>
    <mergeCell ref="B6:M6"/>
    <mergeCell ref="B7:M7"/>
    <mergeCell ref="B8:M8"/>
    <mergeCell ref="B10:D10"/>
    <mergeCell ref="F10:H10"/>
    <mergeCell ref="B11:D11"/>
    <mergeCell ref="F11:H11"/>
    <mergeCell ref="B12:D12"/>
    <mergeCell ref="F12:H12"/>
    <mergeCell ref="B15:M15"/>
    <mergeCell ref="B23:M23"/>
    <mergeCell ref="B24:M26"/>
  </mergeCells>
  <conditionalFormatting sqref="B7">
    <cfRule type="expression" priority="2" aboveAverage="0" equalAverage="0" bottom="0" percent="0" rank="0" text="" dxfId="0">
      <formula>EXACT(calcHealthColor,"Success")</formula>
    </cfRule>
    <cfRule type="expression" priority="3" aboveAverage="0" equalAverage="0" bottom="0" percent="0" rank="0" text="" dxfId="1">
      <formula>EXACT(calcHealthColor,"Warning")</formula>
    </cfRule>
    <cfRule type="expression" priority="4" aboveAverage="0" equalAverage="0" bottom="0" percent="0" rank="0" text="" dxfId="2">
      <formula>EXACT(calcHealthColor,"Critical")</formula>
    </cfRule>
    <cfRule type="expression" priority="5" aboveAverage="0" equalAverage="0" bottom="0" percent="0" rank="0" text="" dxfId="3">
      <formula>EXACT(calcHealthColor,"Neutral")</formula>
    </cfRule>
  </conditionalFormatting>
  <conditionalFormatting sqref="B12">
    <cfRule type="expression" priority="6" aboveAverage="0" equalAverage="0" bottom="0" percent="0" rank="0" text="" dxfId="4">
      <formula>B12&gt;0</formula>
    </cfRule>
  </conditionalFormatting>
  <hyperlinks>
    <hyperlink ref="F2" r:id="rId1" display="Home"/>
    <hyperlink ref="G2" r:id="rId2" display="Quick Add"/>
    <hyperlink ref="H2" r:id="rId3" display="Bills"/>
    <hyperlink ref="J2" r:id="rId4" display="Clients"/>
    <hyperlink ref="K2" r:id="rId5" display="Goals"/>
    <hyperlink ref="L2" r:id="rId6" display="Insigh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4" min="2" style="1" width="12"/>
    <col collapsed="false" customWidth="true" hidden="false" outlineLevel="0" max="5" min="5" style="1" width="2"/>
    <col collapsed="false" customWidth="true" hidden="false" outlineLevel="0" max="8" min="6" style="1" width="12"/>
    <col collapsed="false" customWidth="true" hidden="false" outlineLevel="0" max="9" min="9" style="1" width="2"/>
    <col collapsed="false" customWidth="true" hidden="false" outlineLevel="0" max="13" min="10" style="1" width="12"/>
    <col collapsed="false" customWidth="true" hidden="false" outlineLevel="0" max="14" min="14" style="1" width="3.5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9.75" hidden="false" customHeight="true" outlineLevel="0" collapsed="false">
      <c r="A2" s="3"/>
      <c r="B2" s="4" t="s">
        <v>11</v>
      </c>
      <c r="C2" s="4"/>
      <c r="D2" s="4"/>
      <c r="E2" s="3"/>
      <c r="F2" s="6" t="s">
        <v>0</v>
      </c>
      <c r="G2" s="6" t="s">
        <v>1</v>
      </c>
      <c r="H2" s="6" t="s">
        <v>2</v>
      </c>
      <c r="I2" s="3"/>
      <c r="J2" s="6" t="s">
        <v>3</v>
      </c>
      <c r="K2" s="6" t="s">
        <v>4</v>
      </c>
      <c r="L2" s="6" t="s">
        <v>5</v>
      </c>
      <c r="M2" s="3"/>
      <c r="N2" s="3"/>
    </row>
    <row r="3" customFormat="false" ht="12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2"/>
      <c r="B4" s="7" t="s">
        <v>12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9.5" hidden="false" customHeight="true" outlineLevel="0" collapsed="false">
      <c r="A6" s="2"/>
      <c r="B6" s="14" t="s">
        <v>13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"/>
    </row>
    <row r="7" customFormat="false" ht="21.75" hidden="false" customHeight="true" outlineLevel="0" collapsed="false">
      <c r="A7" s="2"/>
      <c r="B7" s="24" t="s">
        <v>14</v>
      </c>
      <c r="C7" s="24"/>
      <c r="D7" s="24"/>
      <c r="E7" s="19"/>
      <c r="F7" s="25" t="s">
        <v>11</v>
      </c>
      <c r="G7" s="25"/>
      <c r="H7" s="25"/>
      <c r="I7" s="25"/>
      <c r="J7" s="25"/>
      <c r="K7" s="25"/>
      <c r="L7" s="25"/>
      <c r="M7" s="25"/>
      <c r="N7" s="2"/>
    </row>
    <row r="8" customFormat="false" ht="21.75" hidden="false" customHeight="true" outlineLevel="0" collapsed="false">
      <c r="A8" s="2"/>
      <c r="B8" s="24" t="s">
        <v>15</v>
      </c>
      <c r="C8" s="24"/>
      <c r="D8" s="24"/>
      <c r="E8" s="19"/>
      <c r="F8" s="25"/>
      <c r="G8" s="25"/>
      <c r="H8" s="25"/>
      <c r="I8" s="25"/>
      <c r="J8" s="25"/>
      <c r="K8" s="25"/>
      <c r="L8" s="25"/>
      <c r="M8" s="25"/>
      <c r="N8" s="2"/>
    </row>
    <row r="9" customFormat="false" ht="21.75" hidden="false" customHeight="true" outlineLevel="0" collapsed="false">
      <c r="A9" s="2"/>
      <c r="B9" s="24" t="s">
        <v>16</v>
      </c>
      <c r="C9" s="24"/>
      <c r="D9" s="24"/>
      <c r="E9" s="19"/>
      <c r="F9" s="25" t="s">
        <v>17</v>
      </c>
      <c r="G9" s="25"/>
      <c r="H9" s="25"/>
      <c r="I9" s="25"/>
      <c r="J9" s="25"/>
      <c r="K9" s="25"/>
      <c r="L9" s="25"/>
      <c r="M9" s="25"/>
      <c r="N9" s="2"/>
    </row>
    <row r="10" customFormat="false" ht="21.75" hidden="false" customHeight="true" outlineLevel="0" collapsed="false">
      <c r="A10" s="2"/>
      <c r="B10" s="24" t="s">
        <v>18</v>
      </c>
      <c r="C10" s="24"/>
      <c r="D10" s="24"/>
      <c r="E10" s="19"/>
      <c r="F10" s="25" t="s">
        <v>19</v>
      </c>
      <c r="G10" s="25"/>
      <c r="H10" s="25"/>
      <c r="I10" s="25"/>
      <c r="J10" s="25"/>
      <c r="K10" s="25"/>
      <c r="L10" s="25"/>
      <c r="M10" s="25"/>
      <c r="N10" s="2"/>
    </row>
    <row r="11" customFormat="false" ht="21.75" hidden="false" customHeight="true" outlineLevel="0" collapsed="false">
      <c r="A11" s="2"/>
      <c r="B11" s="24" t="s">
        <v>20</v>
      </c>
      <c r="C11" s="24"/>
      <c r="D11" s="24"/>
      <c r="E11" s="19"/>
      <c r="F11" s="25" t="s">
        <v>21</v>
      </c>
      <c r="G11" s="25"/>
      <c r="H11" s="25"/>
      <c r="I11" s="25"/>
      <c r="J11" s="25"/>
      <c r="K11" s="25"/>
      <c r="L11" s="25"/>
      <c r="M11" s="25"/>
      <c r="N11" s="2"/>
    </row>
    <row r="12" customFormat="false" ht="21.75" hidden="false" customHeight="true" outlineLevel="0" collapsed="false">
      <c r="A12" s="2"/>
      <c r="B12" s="26" t="s">
        <v>22</v>
      </c>
      <c r="C12" s="26"/>
      <c r="D12" s="26"/>
      <c r="E12" s="3"/>
      <c r="F12" s="27" t="s">
        <v>23</v>
      </c>
      <c r="G12" s="27"/>
      <c r="H12" s="27"/>
      <c r="I12" s="27"/>
      <c r="J12" s="27"/>
      <c r="K12" s="27"/>
      <c r="L12" s="27"/>
      <c r="M12" s="27"/>
      <c r="N12" s="2"/>
    </row>
    <row r="13" customFormat="false" ht="15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24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9.5" hidden="false" customHeight="true" outlineLevel="0" collapsed="false">
      <c r="A15" s="2"/>
      <c r="B15" s="14" t="s">
        <v>24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"/>
    </row>
    <row r="16" customFormat="false" ht="21.75" hidden="false" customHeight="true" outlineLevel="0" collapsed="false">
      <c r="A16" s="2"/>
      <c r="B16" s="24" t="s">
        <v>25</v>
      </c>
      <c r="C16" s="24"/>
      <c r="D16" s="24"/>
      <c r="E16" s="19"/>
      <c r="F16" s="25" t="s">
        <v>26</v>
      </c>
      <c r="G16" s="25"/>
      <c r="H16" s="25"/>
      <c r="I16" s="25"/>
      <c r="J16" s="25"/>
      <c r="K16" s="25"/>
      <c r="L16" s="25"/>
      <c r="M16" s="25"/>
      <c r="N16" s="2"/>
    </row>
    <row r="17" customFormat="false" ht="21.75" hidden="false" customHeight="true" outlineLevel="0" collapsed="false">
      <c r="A17" s="2"/>
      <c r="B17" s="24" t="s">
        <v>27</v>
      </c>
      <c r="C17" s="24"/>
      <c r="D17" s="24"/>
      <c r="E17" s="19"/>
      <c r="F17" s="28" t="s">
        <v>28</v>
      </c>
      <c r="G17" s="28"/>
      <c r="H17" s="28"/>
      <c r="I17" s="28"/>
      <c r="J17" s="28"/>
      <c r="K17" s="28"/>
      <c r="L17" s="28"/>
      <c r="M17" s="28"/>
      <c r="N17" s="2"/>
    </row>
    <row r="18" customFormat="false" ht="21.75" hidden="false" customHeight="true" outlineLevel="0" collapsed="false">
      <c r="A18" s="2"/>
      <c r="B18" s="26" t="s">
        <v>29</v>
      </c>
      <c r="C18" s="26"/>
      <c r="D18" s="26"/>
      <c r="E18" s="3"/>
      <c r="F18" s="27" t="s">
        <v>30</v>
      </c>
      <c r="G18" s="27"/>
      <c r="H18" s="27"/>
      <c r="I18" s="27"/>
      <c r="J18" s="27"/>
      <c r="K18" s="27"/>
      <c r="L18" s="27"/>
      <c r="M18" s="27"/>
      <c r="N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24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9.5" hidden="false" customHeight="true" outlineLevel="0" collapsed="false">
      <c r="A21" s="2"/>
      <c r="B21" s="14" t="s">
        <v>31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"/>
    </row>
    <row r="22" customFormat="false" ht="21.75" hidden="false" customHeight="true" outlineLevel="0" collapsed="false">
      <c r="A22" s="2"/>
      <c r="B22" s="24" t="s">
        <v>32</v>
      </c>
      <c r="C22" s="24"/>
      <c r="D22" s="24"/>
      <c r="E22" s="19"/>
      <c r="F22" s="25" t="s">
        <v>33</v>
      </c>
      <c r="G22" s="25"/>
      <c r="H22" s="25"/>
      <c r="I22" s="25"/>
      <c r="J22" s="25"/>
      <c r="K22" s="25"/>
      <c r="L22" s="25"/>
      <c r="M22" s="25"/>
      <c r="N22" s="2"/>
    </row>
    <row r="23" customFormat="false" ht="21.75" hidden="false" customHeight="true" outlineLevel="0" collapsed="false">
      <c r="A23" s="2"/>
      <c r="B23" s="24" t="s">
        <v>34</v>
      </c>
      <c r="C23" s="24"/>
      <c r="D23" s="24"/>
      <c r="E23" s="19"/>
      <c r="F23" s="25" t="s">
        <v>35</v>
      </c>
      <c r="G23" s="25"/>
      <c r="H23" s="25"/>
      <c r="I23" s="25"/>
      <c r="J23" s="25"/>
      <c r="K23" s="25"/>
      <c r="L23" s="25"/>
      <c r="M23" s="25"/>
      <c r="N23" s="2"/>
    </row>
    <row r="24" customFormat="false" ht="21.75" hidden="false" customHeight="true" outlineLevel="0" collapsed="false">
      <c r="A24" s="2"/>
      <c r="B24" s="26" t="s">
        <v>36</v>
      </c>
      <c r="C24" s="26"/>
      <c r="D24" s="26"/>
      <c r="E24" s="3"/>
      <c r="F24" s="27" t="s">
        <v>37</v>
      </c>
      <c r="G24" s="27"/>
      <c r="H24" s="27"/>
      <c r="I24" s="27"/>
      <c r="J24" s="27"/>
      <c r="K24" s="27"/>
      <c r="L24" s="27"/>
      <c r="M24" s="27"/>
      <c r="N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24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9.5" hidden="false" customHeight="true" outlineLevel="0" collapsed="false">
      <c r="A27" s="2"/>
      <c r="B27" s="14" t="s">
        <v>38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"/>
    </row>
    <row r="28" customFormat="false" ht="21.75" hidden="false" customHeight="true" outlineLevel="0" collapsed="false">
      <c r="A28" s="2"/>
      <c r="B28" s="24" t="s">
        <v>39</v>
      </c>
      <c r="C28" s="24"/>
      <c r="D28" s="24"/>
      <c r="E28" s="19"/>
      <c r="F28" s="28" t="str">
        <f aca="false">CurrentAppVersion</f>
        <v>1.0.0</v>
      </c>
      <c r="G28" s="28"/>
      <c r="H28" s="28"/>
      <c r="I28" s="28"/>
      <c r="J28" s="28"/>
      <c r="K28" s="28"/>
      <c r="L28" s="28"/>
      <c r="M28" s="28"/>
      <c r="N28" s="2"/>
    </row>
    <row r="29" customFormat="false" ht="21.75" hidden="false" customHeight="true" outlineLevel="0" collapsed="false">
      <c r="A29" s="2"/>
      <c r="B29" s="24" t="s">
        <v>40</v>
      </c>
      <c r="C29" s="24"/>
      <c r="D29" s="24"/>
      <c r="E29" s="19"/>
      <c r="F29" s="28" t="str">
        <f aca="false">CurrentBuildNumber</f>
        <v>2026.07.14-001</v>
      </c>
      <c r="G29" s="28"/>
      <c r="H29" s="28"/>
      <c r="I29" s="28"/>
      <c r="J29" s="28"/>
      <c r="K29" s="28"/>
      <c r="L29" s="28"/>
      <c r="M29" s="28"/>
      <c r="N29" s="2"/>
    </row>
    <row r="30" customFormat="false" ht="21.75" hidden="false" customHeight="true" outlineLevel="0" collapsed="false">
      <c r="A30" s="2"/>
      <c r="B30" s="24" t="s">
        <v>41</v>
      </c>
      <c r="C30" s="24"/>
      <c r="D30" s="24"/>
      <c r="E30" s="19"/>
      <c r="F30" s="29" t="n">
        <f aca="false">CurrentLastUpdated</f>
        <v>46217</v>
      </c>
      <c r="G30" s="29"/>
      <c r="H30" s="29"/>
      <c r="I30" s="29"/>
      <c r="J30" s="29"/>
      <c r="K30" s="29"/>
      <c r="L30" s="29"/>
      <c r="M30" s="29"/>
      <c r="N30" s="2"/>
    </row>
    <row r="31" customFormat="false" ht="21.75" hidden="false" customHeight="true" outlineLevel="0" collapsed="false">
      <c r="A31" s="2"/>
      <c r="B31" s="26" t="s">
        <v>42</v>
      </c>
      <c r="C31" s="26"/>
      <c r="D31" s="26"/>
      <c r="E31" s="3"/>
      <c r="F31" s="30" t="str">
        <f aca="false">CurrentLicense</f>
        <v>Licensed to Riverside Design Studio</v>
      </c>
      <c r="G31" s="30"/>
      <c r="H31" s="30"/>
      <c r="I31" s="30"/>
      <c r="J31" s="30"/>
      <c r="K31" s="30"/>
      <c r="L31" s="30"/>
      <c r="M31" s="30"/>
      <c r="N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31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sheetProtection sheet="true" password="ecaf" formatCells="false" formatColumns="false" formatRows="false" insertColumns="false" insertRows="false" deleteColumns="false" deleteRows="false" sort="false" autoFilter="false"/>
  <mergeCells count="38">
    <mergeCell ref="B2:D2"/>
    <mergeCell ref="B4:M4"/>
    <mergeCell ref="B6:M6"/>
    <mergeCell ref="B7:D7"/>
    <mergeCell ref="F7:M7"/>
    <mergeCell ref="B8:D8"/>
    <mergeCell ref="F8:M8"/>
    <mergeCell ref="B9:D9"/>
    <mergeCell ref="F9:M9"/>
    <mergeCell ref="B10:D10"/>
    <mergeCell ref="F10:M10"/>
    <mergeCell ref="B11:D11"/>
    <mergeCell ref="F11:M11"/>
    <mergeCell ref="B12:D12"/>
    <mergeCell ref="F12:M12"/>
    <mergeCell ref="B15:M15"/>
    <mergeCell ref="B16:D16"/>
    <mergeCell ref="F16:M16"/>
    <mergeCell ref="B17:D17"/>
    <mergeCell ref="F17:M17"/>
    <mergeCell ref="B18:D18"/>
    <mergeCell ref="F18:M18"/>
    <mergeCell ref="B21:M21"/>
    <mergeCell ref="B22:D22"/>
    <mergeCell ref="F22:M22"/>
    <mergeCell ref="B23:D23"/>
    <mergeCell ref="F23:M23"/>
    <mergeCell ref="B24:D24"/>
    <mergeCell ref="F24:M24"/>
    <mergeCell ref="B27:M27"/>
    <mergeCell ref="B28:D28"/>
    <mergeCell ref="F28:M28"/>
    <mergeCell ref="B29:D29"/>
    <mergeCell ref="F29:M29"/>
    <mergeCell ref="B30:D30"/>
    <mergeCell ref="F30:M30"/>
    <mergeCell ref="B31:D31"/>
    <mergeCell ref="F31:M31"/>
  </mergeCells>
  <dataValidations count="8">
    <dataValidation allowBlank="false" errorStyle="stop" operator="between" showDropDown="false" showErrorMessage="false" showInputMessage="false" sqref="F10" type="list">
      <formula1>rngCurrencies</formula1>
      <formula2>0</formula2>
    </dataValidation>
    <dataValidation allowBlank="false" errorStyle="stop" operator="between" showDropDown="false" showErrorMessage="false" showInputMessage="false" sqref="F11" type="list">
      <formula1>rngMonths</formula1>
      <formula2>0</formula2>
    </dataValidation>
    <dataValidation allowBlank="false" errorStyle="stop" operator="between" showDropDown="false" showErrorMessage="false" showInputMessage="false" sqref="F12" type="list">
      <formula1>rngTimeZones</formula1>
      <formula2>0</formula2>
    </dataValidation>
    <dataValidation allowBlank="false" errorStyle="stop" operator="between" showDropDown="false" showErrorMessage="false" showInputMessage="false" sqref="F16" type="list">
      <formula1>rngThemes</formula1>
      <formula2>0</formula2>
    </dataValidation>
    <dataValidation allowBlank="false" errorStyle="stop" operator="between" showDropDown="false" showErrorMessage="false" showInputMessage="false" sqref="F22" type="list">
      <formula1>rngDateFormats</formula1>
      <formula2>0</formula2>
    </dataValidation>
    <dataValidation allowBlank="false" errorStyle="stop" operator="between" showDropDown="false" showErrorMessage="false" showInputMessage="false" sqref="F23" type="list">
      <formula1>rngWeekStart</formula1>
      <formula2>0</formula2>
    </dataValidation>
    <dataValidation allowBlank="false" errorStyle="stop" operator="between" showDropDown="false" showErrorMessage="false" showInputMessage="false" sqref="F24" type="list">
      <formula1>rngNumberFormats</formula1>
      <formula2>0</formula2>
    </dataValidation>
    <dataValidation allowBlank="false" errorStyle="stop" operator="between" showDropDown="false" showErrorMessage="false" showInputMessage="false" sqref="F9" type="list">
      <formula1>rngBusinessTypes</formula1>
      <formula2>0</formula2>
    </dataValidation>
  </dataValidations>
  <hyperlinks>
    <hyperlink ref="F2" r:id="rId1" display="Home"/>
    <hyperlink ref="G2" r:id="rId2" display="Quick Add"/>
    <hyperlink ref="H2" r:id="rId3" display="Bills"/>
    <hyperlink ref="J2" r:id="rId4" display="Clients"/>
    <hyperlink ref="K2" r:id="rId5" display="Goals"/>
    <hyperlink ref="L2" r:id="rId6" display="Insigh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4" min="2" style="1" width="12"/>
    <col collapsed="false" customWidth="true" hidden="false" outlineLevel="0" max="5" min="5" style="1" width="2"/>
    <col collapsed="false" customWidth="true" hidden="false" outlineLevel="0" max="8" min="6" style="1" width="12"/>
    <col collapsed="false" customWidth="true" hidden="false" outlineLevel="0" max="9" min="9" style="1" width="2"/>
    <col collapsed="false" customWidth="true" hidden="false" outlineLevel="0" max="13" min="10" style="1" width="12"/>
    <col collapsed="false" customWidth="true" hidden="false" outlineLevel="0" max="14" min="14" style="1" width="14"/>
    <col collapsed="false" customWidth="true" hidden="false" outlineLevel="0" max="15" min="15" style="1" width="16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9.75" hidden="false" customHeight="true" outlineLevel="0" collapsed="false">
      <c r="A2" s="3"/>
      <c r="B2" s="4" t="str">
        <f aca="false">CurrentBusinessName</f>
        <v>Riverside Design Studio</v>
      </c>
      <c r="C2" s="4"/>
      <c r="D2" s="4"/>
      <c r="E2" s="3"/>
      <c r="F2" s="6" t="s">
        <v>0</v>
      </c>
      <c r="G2" s="5" t="s">
        <v>1</v>
      </c>
      <c r="H2" s="6" t="s">
        <v>2</v>
      </c>
      <c r="I2" s="3"/>
      <c r="J2" s="6" t="s">
        <v>3</v>
      </c>
      <c r="K2" s="6" t="s">
        <v>4</v>
      </c>
      <c r="L2" s="6" t="s">
        <v>5</v>
      </c>
      <c r="M2" s="3"/>
      <c r="N2" s="3"/>
      <c r="O2" s="3"/>
    </row>
    <row r="3" customFormat="false" ht="12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9.5" hidden="false" customHeight="true" outlineLevel="0" collapsed="false">
      <c r="A4" s="2"/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"/>
      <c r="O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9.5" hidden="false" customHeight="true" outlineLevel="0" collapsed="false">
      <c r="A6" s="2"/>
      <c r="B6" s="14" t="s">
        <v>43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"/>
      <c r="O6" s="2"/>
    </row>
    <row r="7" customFormat="false" ht="21.75" hidden="false" customHeight="true" outlineLevel="0" collapsed="false">
      <c r="A7" s="2"/>
      <c r="B7" s="24" t="s">
        <v>44</v>
      </c>
      <c r="C7" s="24"/>
      <c r="D7" s="24"/>
      <c r="E7" s="19"/>
      <c r="F7" s="31"/>
      <c r="G7" s="31"/>
      <c r="H7" s="31"/>
      <c r="I7" s="31"/>
      <c r="J7" s="31"/>
      <c r="K7" s="31"/>
      <c r="L7" s="31"/>
      <c r="M7" s="31"/>
      <c r="N7" s="2"/>
      <c r="O7" s="2"/>
    </row>
    <row r="8" customFormat="false" ht="21.75" hidden="false" customHeight="true" outlineLevel="0" collapsed="false">
      <c r="A8" s="2"/>
      <c r="B8" s="24" t="s">
        <v>45</v>
      </c>
      <c r="C8" s="24"/>
      <c r="D8" s="24"/>
      <c r="E8" s="19"/>
      <c r="F8" s="25"/>
      <c r="G8" s="25"/>
      <c r="H8" s="25"/>
      <c r="I8" s="25"/>
      <c r="J8" s="25"/>
      <c r="K8" s="25"/>
      <c r="L8" s="25"/>
      <c r="M8" s="25"/>
      <c r="N8" s="2"/>
      <c r="O8" s="2"/>
    </row>
    <row r="9" customFormat="false" ht="21.75" hidden="false" customHeight="true" outlineLevel="0" collapsed="false">
      <c r="A9" s="2"/>
      <c r="B9" s="24" t="s">
        <v>46</v>
      </c>
      <c r="C9" s="24"/>
      <c r="D9" s="24"/>
      <c r="E9" s="19"/>
      <c r="F9" s="32"/>
      <c r="G9" s="32"/>
      <c r="H9" s="32"/>
      <c r="I9" s="32"/>
      <c r="J9" s="32"/>
      <c r="K9" s="32"/>
      <c r="L9" s="32"/>
      <c r="M9" s="32"/>
      <c r="N9" s="2"/>
      <c r="O9" s="2"/>
    </row>
    <row r="10" customFormat="false" ht="21.75" hidden="false" customHeight="true" outlineLevel="0" collapsed="false">
      <c r="A10" s="2"/>
      <c r="B10" s="24" t="s">
        <v>47</v>
      </c>
      <c r="C10" s="24"/>
      <c r="D10" s="24"/>
      <c r="E10" s="19"/>
      <c r="F10" s="25"/>
      <c r="G10" s="25"/>
      <c r="H10" s="25"/>
      <c r="I10" s="25"/>
      <c r="J10" s="25"/>
      <c r="K10" s="25"/>
      <c r="L10" s="25"/>
      <c r="M10" s="25"/>
      <c r="N10" s="2"/>
      <c r="O10" s="2"/>
    </row>
    <row r="11" customFormat="false" ht="21.75" hidden="false" customHeight="true" outlineLevel="0" collapsed="false">
      <c r="A11" s="2"/>
      <c r="B11" s="24" t="s">
        <v>48</v>
      </c>
      <c r="C11" s="24"/>
      <c r="D11" s="24"/>
      <c r="E11" s="19"/>
      <c r="F11" s="25"/>
      <c r="G11" s="25"/>
      <c r="H11" s="25"/>
      <c r="I11" s="25"/>
      <c r="J11" s="25"/>
      <c r="K11" s="25"/>
      <c r="L11" s="25"/>
      <c r="M11" s="25"/>
      <c r="N11" s="2"/>
      <c r="O11" s="2"/>
    </row>
    <row r="12" customFormat="false" ht="21.75" hidden="false" customHeight="true" outlineLevel="0" collapsed="false">
      <c r="A12" s="2"/>
      <c r="B12" s="24" t="s">
        <v>49</v>
      </c>
      <c r="C12" s="24"/>
      <c r="D12" s="24"/>
      <c r="E12" s="19"/>
      <c r="F12" s="25"/>
      <c r="G12" s="25"/>
      <c r="H12" s="25"/>
      <c r="I12" s="25"/>
      <c r="J12" s="25"/>
      <c r="K12" s="25"/>
      <c r="L12" s="25"/>
      <c r="M12" s="25"/>
      <c r="N12" s="2"/>
      <c r="O12" s="2"/>
    </row>
    <row r="13" customFormat="false" ht="21.75" hidden="false" customHeight="true" outlineLevel="0" collapsed="false">
      <c r="A13" s="2"/>
      <c r="B13" s="24" t="s">
        <v>50</v>
      </c>
      <c r="C13" s="24"/>
      <c r="D13" s="24"/>
      <c r="E13" s="19"/>
      <c r="F13" s="25"/>
      <c r="G13" s="25"/>
      <c r="H13" s="25"/>
      <c r="I13" s="25"/>
      <c r="J13" s="25"/>
      <c r="K13" s="25"/>
      <c r="L13" s="25"/>
      <c r="M13" s="25"/>
      <c r="N13" s="2"/>
      <c r="O13" s="2"/>
    </row>
    <row r="14" customFormat="false" ht="15.75" hidden="false" customHeight="true" outlineLevel="0" collapsed="false">
      <c r="A14" s="2"/>
      <c r="B14" s="22"/>
      <c r="C14" s="3"/>
      <c r="D14" s="3"/>
      <c r="E14" s="3"/>
      <c r="F14" s="3"/>
      <c r="G14" s="3"/>
      <c r="H14" s="3"/>
      <c r="I14" s="3"/>
      <c r="J14" s="3"/>
      <c r="K14" s="3"/>
      <c r="L14" s="3"/>
      <c r="M14" s="17"/>
      <c r="N14" s="2"/>
      <c r="O14" s="2"/>
    </row>
    <row r="15" customFormat="false" ht="24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9.5" hidden="false" customHeight="true" outlineLevel="0" collapsed="false">
      <c r="A16" s="2"/>
      <c r="B16" s="33" t="s">
        <v>51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customFormat="false" ht="33.75" hidden="false" customHeight="true" outlineLevel="0" collapsed="false">
      <c r="A17" s="2"/>
      <c r="B17" s="34" t="s">
        <v>52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customFormat="false" ht="19.5" hidden="false" customHeight="true" outlineLevel="0" collapsed="false">
      <c r="A18" s="2"/>
      <c r="B18" s="35" t="s">
        <v>53</v>
      </c>
      <c r="C18" s="35" t="s">
        <v>44</v>
      </c>
      <c r="D18" s="35" t="s">
        <v>54</v>
      </c>
      <c r="E18" s="35" t="s">
        <v>46</v>
      </c>
      <c r="F18" s="35" t="s">
        <v>55</v>
      </c>
      <c r="G18" s="35" t="s">
        <v>49</v>
      </c>
      <c r="H18" s="35" t="s">
        <v>56</v>
      </c>
      <c r="I18" s="35" t="s">
        <v>57</v>
      </c>
      <c r="J18" s="35" t="s">
        <v>58</v>
      </c>
      <c r="K18" s="35" t="s">
        <v>59</v>
      </c>
      <c r="L18" s="35" t="s">
        <v>60</v>
      </c>
      <c r="M18" s="35" t="s">
        <v>61</v>
      </c>
      <c r="N18" s="35" t="s">
        <v>62</v>
      </c>
      <c r="O18" s="35" t="s">
        <v>63</v>
      </c>
    </row>
    <row r="19" customFormat="false" ht="19.5" hidden="false" customHeight="true" outlineLevel="0" collapsed="false">
      <c r="A19" s="2"/>
      <c r="B19" s="36" t="str">
        <f aca="false" t="array" ref="B19:B19">"TXN-"&amp;TEXT(MAX(IFERROR(VALUE(MID(tbl_Transactions[TransactionID],5,10)),0))+1,"000000")</f>
        <v>TXN-000483</v>
      </c>
      <c r="C19" s="37" t="n">
        <f aca="false">F7</f>
        <v>0</v>
      </c>
      <c r="D19" s="38" t="str">
        <f aca="false">IF(F8="","",F8)</f>
        <v/>
      </c>
      <c r="E19" s="38" t="n">
        <f aca="false">F9</f>
        <v>0</v>
      </c>
      <c r="F19" s="36" t="str">
        <f aca="false">IFERROR(INDEX(tbl_Categories[CategoryID],MATCH(F10,tbl_Categories[CategoryName],0)),"")</f>
        <v/>
      </c>
      <c r="G19" s="36" t="n">
        <f aca="false">IF(F13="",F12,F12&amp;" -- Notes: "&amp;F13)</f>
        <v>0</v>
      </c>
      <c r="H19" s="36" t="str">
        <f aca="false">IFERROR(INDEX(tbl_Customers[CustomerID],MATCH(F11,tbl_Customers[CustomerName],0)),"")</f>
        <v/>
      </c>
      <c r="I19" s="36" t="str">
        <f aca="false">IFERROR(INDEX(tbl_Vendors[VendorID],MATCH(F11,tbl_Vendors[VendorName],0)),"")</f>
        <v/>
      </c>
      <c r="J19" s="36"/>
      <c r="K19" s="36"/>
      <c r="L19" s="39" t="b">
        <f aca="false">FALSE()</f>
        <v>0</v>
      </c>
      <c r="M19" s="36"/>
      <c r="N19" s="36" t="s">
        <v>64</v>
      </c>
      <c r="O19" s="40" t="n">
        <f aca="true">NOW()</f>
        <v>46221.8495770447</v>
      </c>
    </row>
    <row r="20" customFormat="false" ht="31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sheetProtection sheet="true" password="ecaf" formatCells="false" formatColumns="false" formatRows="false" insertColumns="false" insertRows="false" deleteColumns="false" deleteRows="false" sort="false" autoFilter="false"/>
  <mergeCells count="19">
    <mergeCell ref="B2:D2"/>
    <mergeCell ref="B4:M4"/>
    <mergeCell ref="B6:M6"/>
    <mergeCell ref="B7:D7"/>
    <mergeCell ref="F7:M7"/>
    <mergeCell ref="B8:D8"/>
    <mergeCell ref="F8:M8"/>
    <mergeCell ref="B9:D9"/>
    <mergeCell ref="F9:M9"/>
    <mergeCell ref="B10:D10"/>
    <mergeCell ref="F10:M10"/>
    <mergeCell ref="B11:D11"/>
    <mergeCell ref="F11:M11"/>
    <mergeCell ref="B12:D12"/>
    <mergeCell ref="F12:M12"/>
    <mergeCell ref="B13:D13"/>
    <mergeCell ref="F13:M13"/>
    <mergeCell ref="B16:O16"/>
    <mergeCell ref="B17:O17"/>
  </mergeCells>
  <dataValidations count="7">
    <dataValidation allowBlank="true" errorStyle="stop" operator="greaterThan" showDropDown="false" showErrorMessage="false" showInputMessage="false" sqref="F7" type="date">
      <formula1>DATE(1999,12,31)</formula1>
      <formula2>0</formula2>
    </dataValidation>
    <dataValidation allowBlank="true" errorStyle="stop" operator="between" showDropDown="false" showErrorMessage="true" showInputMessage="false" sqref="F8" type="list">
      <formula1>rngTransactionDirection</formula1>
      <formula2>0</formula2>
    </dataValidation>
    <dataValidation allowBlank="true" errorStyle="stop" operator="greaterThan" showDropDown="false" showErrorMessage="false" showInputMessage="false" sqref="F9" type="decimal">
      <formula1>0</formula1>
      <formula2>0</formula2>
    </dataValidation>
    <dataValidation allowBlank="true" errorStyle="stop" operator="between" showDropDown="false" showErrorMessage="true" showInputMessage="false" sqref="F10" type="list">
      <formula1>CategoryNameList</formula1>
      <formula2>0</formula2>
    </dataValidation>
    <dataValidation allowBlank="true" errorStyle="information" operator="between" showDropDown="false" showErrorMessage="false" showInputMessage="false" sqref="F11" type="list">
      <formula1>VendorNameList</formula1>
      <formula2>0</formula2>
    </dataValidation>
    <dataValidation allowBlank="true" errorStyle="stop" operator="lessThanOrEqual" showDropDown="false" showErrorMessage="false" showInputMessage="false" sqref="F12" type="textLength">
      <formula1>100</formula1>
      <formula2>0</formula2>
    </dataValidation>
    <dataValidation allowBlank="true" errorStyle="stop" operator="lessThanOrEqual" showDropDown="false" showErrorMessage="false" showInputMessage="false" sqref="F13" type="textLength">
      <formula1>200</formula1>
      <formula2>0</formula2>
    </dataValidation>
  </dataValidations>
  <hyperlinks>
    <hyperlink ref="F2" r:id="rId1" display="Home"/>
    <hyperlink ref="G2" r:id="rId2" display="Quick Add"/>
    <hyperlink ref="H2" r:id="rId3" display="Bills"/>
    <hyperlink ref="J2" r:id="rId4" display="Clients"/>
    <hyperlink ref="K2" r:id="rId5" display="Goals"/>
    <hyperlink ref="L2" r:id="rId6" display="Insigh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4" min="2" style="1" width="12"/>
    <col collapsed="false" customWidth="true" hidden="false" outlineLevel="0" max="5" min="5" style="1" width="2"/>
    <col collapsed="false" customWidth="true" hidden="false" outlineLevel="0" max="8" min="6" style="1" width="12"/>
    <col collapsed="false" customWidth="true" hidden="false" outlineLevel="0" max="9" min="9" style="1" width="2"/>
    <col collapsed="false" customWidth="true" hidden="false" outlineLevel="0" max="13" min="10" style="1" width="12"/>
    <col collapsed="false" customWidth="true" hidden="false" outlineLevel="0" max="14" min="14" style="1" width="3.5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9.75" hidden="false" customHeight="true" outlineLevel="0" collapsed="false">
      <c r="A2" s="3"/>
      <c r="B2" s="4" t="str">
        <f aca="false">CurrentBusinessName</f>
        <v>Riverside Design Studio</v>
      </c>
      <c r="C2" s="4"/>
      <c r="D2" s="4"/>
      <c r="E2" s="3"/>
      <c r="F2" s="6" t="s">
        <v>0</v>
      </c>
      <c r="G2" s="6" t="s">
        <v>1</v>
      </c>
      <c r="H2" s="5" t="s">
        <v>2</v>
      </c>
      <c r="I2" s="3"/>
      <c r="J2" s="6" t="s">
        <v>3</v>
      </c>
      <c r="K2" s="6" t="s">
        <v>4</v>
      </c>
      <c r="L2" s="6" t="s">
        <v>5</v>
      </c>
      <c r="M2" s="3"/>
      <c r="N2" s="3"/>
      <c r="O2" s="2"/>
    </row>
    <row r="3" customFormat="false" ht="12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9.5" hidden="false" customHeight="true" outlineLevel="0" collapsed="false">
      <c r="A4" s="2"/>
      <c r="B4" s="7" t="s">
        <v>65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"/>
      <c r="O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9.5" hidden="false" customHeight="true" outlineLevel="0" collapsed="false">
      <c r="A6" s="2"/>
      <c r="B6" s="14" t="s">
        <v>66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"/>
      <c r="O6" s="2"/>
    </row>
    <row r="7" customFormat="false" ht="18" hidden="false" customHeight="true" outlineLevel="0" collapsed="false">
      <c r="A7" s="2"/>
      <c r="B7" s="41" t="s">
        <v>67</v>
      </c>
      <c r="C7" s="41"/>
      <c r="D7" s="41"/>
      <c r="E7" s="19"/>
      <c r="F7" s="42" t="s">
        <v>46</v>
      </c>
      <c r="G7" s="42"/>
      <c r="H7" s="42" t="s">
        <v>68</v>
      </c>
      <c r="I7" s="42"/>
      <c r="J7" s="42"/>
      <c r="K7" s="43" t="s">
        <v>69</v>
      </c>
      <c r="L7" s="43"/>
      <c r="M7" s="43"/>
      <c r="N7" s="2"/>
      <c r="O7" s="2"/>
    </row>
    <row r="8" customFormat="false" ht="18" hidden="false" customHeight="true" outlineLevel="0" collapsed="false">
      <c r="A8" s="2"/>
      <c r="B8" s="44" t="str">
        <f aca="false">IFERROR(INDEX(tbl_Vendors[VendorName],MATCH(INDEX(tbl_Bills[VendorID],1),tbl_Vendors[VendorID],0)),"")</f>
        <v>City Wholesale Supplies</v>
      </c>
      <c r="C8" s="44"/>
      <c r="D8" s="44"/>
      <c r="E8" s="19"/>
      <c r="F8" s="45" t="n">
        <f aca="false">IFERROR(INDEX(tbl_Bills[Amount],1),"")</f>
        <v>89</v>
      </c>
      <c r="G8" s="45"/>
      <c r="H8" s="46" t="n">
        <f aca="false">IFERROR(INDEX(tbl_Bills[DueDate],1),"")</f>
        <v>46223</v>
      </c>
      <c r="I8" s="46"/>
      <c r="J8" s="46"/>
      <c r="K8" s="47" t="str">
        <f aca="false">IFERROR(INDEX(tbl_Bills[Status],1),"")</f>
        <v>Upcoming</v>
      </c>
      <c r="L8" s="47"/>
      <c r="M8" s="47"/>
      <c r="N8" s="2"/>
      <c r="O8" s="2"/>
    </row>
    <row r="9" customFormat="false" ht="18" hidden="false" customHeight="true" outlineLevel="0" collapsed="false">
      <c r="A9" s="2"/>
      <c r="B9" s="44" t="str">
        <f aca="false">IFERROR(INDEX(tbl_Vendors[VendorName],MATCH(INDEX(tbl_Bills[VendorID],2),tbl_Vendors[VendorID],0)),"")</f>
        <v>City Wholesale Supplies</v>
      </c>
      <c r="C9" s="44"/>
      <c r="D9" s="44"/>
      <c r="E9" s="19"/>
      <c r="F9" s="45" t="n">
        <f aca="false">IFERROR(INDEX(tbl_Bills[Amount],2),"")</f>
        <v>150</v>
      </c>
      <c r="G9" s="45"/>
      <c r="H9" s="46" t="n">
        <f aca="false">IFERROR(INDEX(tbl_Bills[DueDate],2),"")</f>
        <v>46204</v>
      </c>
      <c r="I9" s="46"/>
      <c r="J9" s="46"/>
      <c r="K9" s="47" t="str">
        <f aca="false">IFERROR(INDEX(tbl_Bills[Status],2),"")</f>
        <v>Overdue</v>
      </c>
      <c r="L9" s="47"/>
      <c r="M9" s="47"/>
      <c r="N9" s="2"/>
      <c r="O9" s="2"/>
    </row>
    <row r="10" customFormat="false" ht="18" hidden="false" customHeight="true" outlineLevel="0" collapsed="false">
      <c r="A10" s="2"/>
      <c r="B10" s="44" t="str">
        <f aca="false">IFERROR(INDEX(tbl_Vendors[VendorName],MATCH(INDEX(tbl_Bills[VendorID],3),tbl_Vendors[VendorID],0)),"")</f>
        <v/>
      </c>
      <c r="C10" s="44"/>
      <c r="D10" s="44"/>
      <c r="E10" s="19"/>
      <c r="F10" s="45" t="str">
        <f aca="false">IFERROR(INDEX(tbl_Bills[Amount],3),"")</f>
        <v/>
      </c>
      <c r="G10" s="45"/>
      <c r="H10" s="46" t="str">
        <f aca="false">IFERROR(INDEX(tbl_Bills[DueDate],3),"")</f>
        <v/>
      </c>
      <c r="I10" s="46"/>
      <c r="J10" s="46"/>
      <c r="K10" s="47" t="str">
        <f aca="false">IFERROR(INDEX(tbl_Bills[Status],3),"")</f>
        <v/>
      </c>
      <c r="L10" s="47"/>
      <c r="M10" s="47"/>
      <c r="N10" s="2"/>
      <c r="O10" s="2"/>
    </row>
    <row r="11" customFormat="false" ht="18" hidden="false" customHeight="true" outlineLevel="0" collapsed="false">
      <c r="A11" s="2"/>
      <c r="B11" s="44" t="str">
        <f aca="false">IFERROR(INDEX(tbl_Vendors[VendorName],MATCH(INDEX(tbl_Bills[VendorID],4),tbl_Vendors[VendorID],0)),"")</f>
        <v/>
      </c>
      <c r="C11" s="44"/>
      <c r="D11" s="44"/>
      <c r="E11" s="19"/>
      <c r="F11" s="45" t="str">
        <f aca="false">IFERROR(INDEX(tbl_Bills[Amount],4),"")</f>
        <v/>
      </c>
      <c r="G11" s="45"/>
      <c r="H11" s="46" t="str">
        <f aca="false">IFERROR(INDEX(tbl_Bills[DueDate],4),"")</f>
        <v/>
      </c>
      <c r="I11" s="46"/>
      <c r="J11" s="46"/>
      <c r="K11" s="47" t="str">
        <f aca="false">IFERROR(INDEX(tbl_Bills[Status],4),"")</f>
        <v/>
      </c>
      <c r="L11" s="47"/>
      <c r="M11" s="47"/>
      <c r="N11" s="2"/>
      <c r="O11" s="2"/>
    </row>
    <row r="12" customFormat="false" ht="18" hidden="false" customHeight="true" outlineLevel="0" collapsed="false">
      <c r="A12" s="2"/>
      <c r="B12" s="44" t="str">
        <f aca="false">IFERROR(INDEX(tbl_Vendors[VendorName],MATCH(INDEX(tbl_Bills[VendorID],5),tbl_Vendors[VendorID],0)),"")</f>
        <v/>
      </c>
      <c r="C12" s="44"/>
      <c r="D12" s="44"/>
      <c r="E12" s="19"/>
      <c r="F12" s="45" t="str">
        <f aca="false">IFERROR(INDEX(tbl_Bills[Amount],5),"")</f>
        <v/>
      </c>
      <c r="G12" s="45"/>
      <c r="H12" s="46" t="str">
        <f aca="false">IFERROR(INDEX(tbl_Bills[DueDate],5),"")</f>
        <v/>
      </c>
      <c r="I12" s="46"/>
      <c r="J12" s="46"/>
      <c r="K12" s="47" t="str">
        <f aca="false">IFERROR(INDEX(tbl_Bills[Status],5),"")</f>
        <v/>
      </c>
      <c r="L12" s="47"/>
      <c r="M12" s="47"/>
      <c r="N12" s="2"/>
      <c r="O12" s="2"/>
    </row>
    <row r="13" customFormat="false" ht="18" hidden="false" customHeight="true" outlineLevel="0" collapsed="false">
      <c r="A13" s="2"/>
      <c r="B13" s="44" t="str">
        <f aca="false">IFERROR(INDEX(tbl_Vendors[VendorName],MATCH(INDEX(tbl_Bills[VendorID],6),tbl_Vendors[VendorID],0)),"")</f>
        <v/>
      </c>
      <c r="C13" s="44"/>
      <c r="D13" s="44"/>
      <c r="E13" s="19"/>
      <c r="F13" s="45" t="str">
        <f aca="false">IFERROR(INDEX(tbl_Bills[Amount],6),"")</f>
        <v/>
      </c>
      <c r="G13" s="45"/>
      <c r="H13" s="46" t="str">
        <f aca="false">IFERROR(INDEX(tbl_Bills[DueDate],6),"")</f>
        <v/>
      </c>
      <c r="I13" s="46"/>
      <c r="J13" s="46"/>
      <c r="K13" s="47" t="str">
        <f aca="false">IFERROR(INDEX(tbl_Bills[Status],6),"")</f>
        <v/>
      </c>
      <c r="L13" s="47"/>
      <c r="M13" s="47"/>
      <c r="N13" s="2"/>
      <c r="O13" s="2"/>
    </row>
    <row r="14" customFormat="false" ht="18" hidden="false" customHeight="true" outlineLevel="0" collapsed="false">
      <c r="A14" s="2"/>
      <c r="B14" s="44" t="str">
        <f aca="false">IFERROR(INDEX(tbl_Vendors[VendorName],MATCH(INDEX(tbl_Bills[VendorID],7),tbl_Vendors[VendorID],0)),"")</f>
        <v/>
      </c>
      <c r="C14" s="44"/>
      <c r="D14" s="44"/>
      <c r="E14" s="19"/>
      <c r="F14" s="45" t="str">
        <f aca="false">IFERROR(INDEX(tbl_Bills[Amount],7),"")</f>
        <v/>
      </c>
      <c r="G14" s="45"/>
      <c r="H14" s="46" t="str">
        <f aca="false">IFERROR(INDEX(tbl_Bills[DueDate],7),"")</f>
        <v/>
      </c>
      <c r="I14" s="46"/>
      <c r="J14" s="46"/>
      <c r="K14" s="47" t="str">
        <f aca="false">IFERROR(INDEX(tbl_Bills[Status],7),"")</f>
        <v/>
      </c>
      <c r="L14" s="47"/>
      <c r="M14" s="47"/>
      <c r="N14" s="2"/>
      <c r="O14" s="2"/>
    </row>
    <row r="15" customFormat="false" ht="18" hidden="false" customHeight="true" outlineLevel="0" collapsed="false">
      <c r="A15" s="2"/>
      <c r="B15" s="44" t="str">
        <f aca="false">IFERROR(INDEX(tbl_Vendors[VendorName],MATCH(INDEX(tbl_Bills[VendorID],8),tbl_Vendors[VendorID],0)),"")</f>
        <v/>
      </c>
      <c r="C15" s="44"/>
      <c r="D15" s="44"/>
      <c r="E15" s="19"/>
      <c r="F15" s="45" t="str">
        <f aca="false">IFERROR(INDEX(tbl_Bills[Amount],8),"")</f>
        <v/>
      </c>
      <c r="G15" s="45"/>
      <c r="H15" s="46" t="str">
        <f aca="false">IFERROR(INDEX(tbl_Bills[DueDate],8),"")</f>
        <v/>
      </c>
      <c r="I15" s="46"/>
      <c r="J15" s="46"/>
      <c r="K15" s="47" t="str">
        <f aca="false">IFERROR(INDEX(tbl_Bills[Status],8),"")</f>
        <v/>
      </c>
      <c r="L15" s="47"/>
      <c r="M15" s="47"/>
      <c r="N15" s="2"/>
      <c r="O15" s="2"/>
    </row>
    <row r="16" customFormat="false" ht="18" hidden="false" customHeight="true" outlineLevel="0" collapsed="false">
      <c r="A16" s="2"/>
      <c r="B16" s="44" t="str">
        <f aca="false">IFERROR(INDEX(tbl_Vendors[VendorName],MATCH(INDEX(tbl_Bills[VendorID],9),tbl_Vendors[VendorID],0)),"")</f>
        <v/>
      </c>
      <c r="C16" s="44"/>
      <c r="D16" s="44"/>
      <c r="E16" s="19"/>
      <c r="F16" s="45" t="str">
        <f aca="false">IFERROR(INDEX(tbl_Bills[Amount],9),"")</f>
        <v/>
      </c>
      <c r="G16" s="45"/>
      <c r="H16" s="46" t="str">
        <f aca="false">IFERROR(INDEX(tbl_Bills[DueDate],9),"")</f>
        <v/>
      </c>
      <c r="I16" s="46"/>
      <c r="J16" s="46"/>
      <c r="K16" s="47" t="str">
        <f aca="false">IFERROR(INDEX(tbl_Bills[Status],9),"")</f>
        <v/>
      </c>
      <c r="L16" s="47"/>
      <c r="M16" s="47"/>
      <c r="N16" s="2"/>
      <c r="O16" s="2"/>
    </row>
    <row r="17" customFormat="false" ht="18" hidden="false" customHeight="true" outlineLevel="0" collapsed="false">
      <c r="A17" s="2"/>
      <c r="B17" s="44" t="str">
        <f aca="false">IFERROR(INDEX(tbl_Vendors[VendorName],MATCH(INDEX(tbl_Bills[VendorID],10),tbl_Vendors[VendorID],0)),"")</f>
        <v/>
      </c>
      <c r="C17" s="44"/>
      <c r="D17" s="44"/>
      <c r="E17" s="19"/>
      <c r="F17" s="45" t="str">
        <f aca="false">IFERROR(INDEX(tbl_Bills[Amount],10),"")</f>
        <v/>
      </c>
      <c r="G17" s="45"/>
      <c r="H17" s="46" t="str">
        <f aca="false">IFERROR(INDEX(tbl_Bills[DueDate],10),"")</f>
        <v/>
      </c>
      <c r="I17" s="46"/>
      <c r="J17" s="46"/>
      <c r="K17" s="47" t="str">
        <f aca="false">IFERROR(INDEX(tbl_Bills[Status],10),"")</f>
        <v/>
      </c>
      <c r="L17" s="47"/>
      <c r="M17" s="47"/>
      <c r="N17" s="2"/>
      <c r="O17" s="2"/>
    </row>
    <row r="18" customFormat="false" ht="15.75" hidden="false" customHeight="true" outlineLevel="0" collapsed="false">
      <c r="A18" s="2"/>
      <c r="B18" s="22"/>
      <c r="C18" s="3"/>
      <c r="D18" s="3"/>
      <c r="E18" s="3"/>
      <c r="F18" s="3"/>
      <c r="G18" s="3"/>
      <c r="H18" s="3"/>
      <c r="I18" s="3"/>
      <c r="J18" s="3"/>
      <c r="K18" s="3"/>
      <c r="L18" s="3"/>
      <c r="M18" s="17"/>
      <c r="N18" s="2"/>
      <c r="O18" s="2"/>
    </row>
    <row r="19" customFormat="false" ht="24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9.5" hidden="false" customHeight="true" outlineLevel="0" collapsed="false">
      <c r="A20" s="2"/>
      <c r="B20" s="14" t="s">
        <v>70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"/>
      <c r="O20" s="2"/>
    </row>
    <row r="21" customFormat="false" ht="21.75" hidden="false" customHeight="true" outlineLevel="0" collapsed="false">
      <c r="A21" s="2"/>
      <c r="B21" s="24" t="s">
        <v>67</v>
      </c>
      <c r="C21" s="24"/>
      <c r="D21" s="24"/>
      <c r="E21" s="19"/>
      <c r="F21" s="25"/>
      <c r="G21" s="25"/>
      <c r="H21" s="25"/>
      <c r="I21" s="25"/>
      <c r="J21" s="25"/>
      <c r="K21" s="25"/>
      <c r="L21" s="25"/>
      <c r="M21" s="25"/>
      <c r="N21" s="2"/>
      <c r="O21" s="2"/>
    </row>
    <row r="22" customFormat="false" ht="21.75" hidden="false" customHeight="true" outlineLevel="0" collapsed="false">
      <c r="A22" s="2"/>
      <c r="B22" s="24" t="s">
        <v>46</v>
      </c>
      <c r="C22" s="24"/>
      <c r="D22" s="24"/>
      <c r="E22" s="19"/>
      <c r="F22" s="32"/>
      <c r="G22" s="32"/>
      <c r="H22" s="32"/>
      <c r="I22" s="32"/>
      <c r="J22" s="32"/>
      <c r="K22" s="32"/>
      <c r="L22" s="32"/>
      <c r="M22" s="32"/>
      <c r="N22" s="2"/>
      <c r="O22" s="2"/>
    </row>
    <row r="23" customFormat="false" ht="21.75" hidden="false" customHeight="true" outlineLevel="0" collapsed="false">
      <c r="A23" s="2"/>
      <c r="B23" s="24" t="s">
        <v>68</v>
      </c>
      <c r="C23" s="24"/>
      <c r="D23" s="24"/>
      <c r="E23" s="19"/>
      <c r="F23" s="31"/>
      <c r="G23" s="31"/>
      <c r="H23" s="31"/>
      <c r="I23" s="31"/>
      <c r="J23" s="31"/>
      <c r="K23" s="31"/>
      <c r="L23" s="31"/>
      <c r="M23" s="31"/>
      <c r="N23" s="2"/>
      <c r="O23" s="2"/>
    </row>
    <row r="24" customFormat="false" ht="21.75" hidden="false" customHeight="true" outlineLevel="0" collapsed="false">
      <c r="A24" s="2"/>
      <c r="B24" s="24" t="s">
        <v>71</v>
      </c>
      <c r="C24" s="24"/>
      <c r="D24" s="24"/>
      <c r="E24" s="19"/>
      <c r="F24" s="25"/>
      <c r="G24" s="25"/>
      <c r="H24" s="25"/>
      <c r="I24" s="25"/>
      <c r="J24" s="25"/>
      <c r="K24" s="25"/>
      <c r="L24" s="25"/>
      <c r="M24" s="25"/>
      <c r="N24" s="2"/>
      <c r="O24" s="2"/>
    </row>
    <row r="25" customFormat="false" ht="21.75" hidden="false" customHeight="true" outlineLevel="0" collapsed="false">
      <c r="A25" s="2"/>
      <c r="B25" s="24" t="s">
        <v>72</v>
      </c>
      <c r="C25" s="24"/>
      <c r="D25" s="24"/>
      <c r="E25" s="19"/>
      <c r="F25" s="25"/>
      <c r="G25" s="25"/>
      <c r="H25" s="25"/>
      <c r="I25" s="25"/>
      <c r="J25" s="25"/>
      <c r="K25" s="25"/>
      <c r="L25" s="25"/>
      <c r="M25" s="25"/>
      <c r="N25" s="2"/>
      <c r="O25" s="2"/>
    </row>
    <row r="26" customFormat="false" ht="21.75" hidden="false" customHeight="true" outlineLevel="0" collapsed="false">
      <c r="A26" s="2"/>
      <c r="B26" s="24" t="s">
        <v>50</v>
      </c>
      <c r="C26" s="24"/>
      <c r="D26" s="24"/>
      <c r="E26" s="19"/>
      <c r="F26" s="25"/>
      <c r="G26" s="25"/>
      <c r="H26" s="25"/>
      <c r="I26" s="25"/>
      <c r="J26" s="25"/>
      <c r="K26" s="25"/>
      <c r="L26" s="25"/>
      <c r="M26" s="25"/>
      <c r="N26" s="2"/>
      <c r="O26" s="2"/>
    </row>
    <row r="27" customFormat="false" ht="15.75" hidden="false" customHeight="true" outlineLevel="0" collapsed="false">
      <c r="A27" s="2"/>
      <c r="B27" s="22"/>
      <c r="C27" s="3"/>
      <c r="D27" s="3"/>
      <c r="E27" s="3"/>
      <c r="F27" s="3"/>
      <c r="G27" s="3"/>
      <c r="H27" s="3"/>
      <c r="I27" s="3"/>
      <c r="J27" s="3"/>
      <c r="K27" s="3"/>
      <c r="L27" s="3"/>
      <c r="M27" s="17"/>
      <c r="N27" s="2"/>
      <c r="O27" s="2"/>
    </row>
    <row r="28" customFormat="false" ht="24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9.5" hidden="false" customHeight="true" outlineLevel="0" collapsed="false">
      <c r="A29" s="2"/>
      <c r="B29" s="33" t="s">
        <v>51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2"/>
      <c r="O29" s="2"/>
    </row>
    <row r="30" customFormat="false" ht="33.75" hidden="false" customHeight="true" outlineLevel="0" collapsed="false">
      <c r="A30" s="2"/>
      <c r="B30" s="34" t="s">
        <v>73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2"/>
      <c r="O30" s="2"/>
    </row>
    <row r="31" customFormat="false" ht="19.5" hidden="false" customHeight="true" outlineLevel="0" collapsed="false">
      <c r="A31" s="2"/>
      <c r="B31" s="35" t="s">
        <v>74</v>
      </c>
      <c r="C31" s="35" t="s">
        <v>57</v>
      </c>
      <c r="D31" s="35" t="s">
        <v>46</v>
      </c>
      <c r="E31" s="35" t="s">
        <v>75</v>
      </c>
      <c r="F31" s="35" t="s">
        <v>60</v>
      </c>
      <c r="G31" s="35" t="s">
        <v>76</v>
      </c>
      <c r="H31" s="35" t="s">
        <v>69</v>
      </c>
      <c r="I31" s="35" t="s">
        <v>77</v>
      </c>
      <c r="J31" s="35" t="s">
        <v>78</v>
      </c>
      <c r="K31" s="48"/>
      <c r="L31" s="48"/>
      <c r="M31" s="48"/>
      <c r="N31" s="2"/>
      <c r="O31" s="2"/>
    </row>
    <row r="32" customFormat="false" ht="19.5" hidden="false" customHeight="true" outlineLevel="0" collapsed="false">
      <c r="A32" s="2"/>
      <c r="B32" s="36" t="str">
        <f aca="false" t="array" ref="B32:B32">"BILL-"&amp;TEXT(MAX(IFERROR(VALUE(MID(tbl_Bills[BillID],6,10)),0))+1,"0000")</f>
        <v>BILL-0003</v>
      </c>
      <c r="C32" s="36" t="str">
        <f aca="false">IFERROR(INDEX(tbl_Vendors[VendorID],MATCH(F21,tbl_Vendors[VendorName],0)),"")</f>
        <v/>
      </c>
      <c r="D32" s="38" t="n">
        <f aca="false">F22</f>
        <v>0</v>
      </c>
      <c r="E32" s="37" t="n">
        <f aca="false">F23</f>
        <v>0</v>
      </c>
      <c r="F32" s="36" t="n">
        <f aca="false">F24</f>
        <v>0</v>
      </c>
      <c r="G32" s="36" t="n">
        <f aca="false">F25</f>
        <v>0</v>
      </c>
      <c r="H32" s="36" t="str">
        <f aca="true">IF(F23="","",IF(F23&lt;TODAY(),"Overdue","Upcoming"))</f>
        <v/>
      </c>
      <c r="I32" s="36"/>
      <c r="J32" s="36" t="n">
        <f aca="false">F26</f>
        <v>0</v>
      </c>
      <c r="K32" s="48"/>
      <c r="L32" s="48"/>
      <c r="M32" s="48"/>
      <c r="N32" s="2"/>
      <c r="O32" s="2"/>
    </row>
    <row r="33" customFormat="false" ht="31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</sheetData>
  <sheetProtection sheet="true" password="ecaf" formatCells="false" formatColumns="false" formatRows="false" insertColumns="false" insertRows="false" deleteColumns="false" deleteRows="false" sort="false" autoFilter="false"/>
  <mergeCells count="62">
    <mergeCell ref="B2:D2"/>
    <mergeCell ref="B4:M4"/>
    <mergeCell ref="B6:M6"/>
    <mergeCell ref="B7:D7"/>
    <mergeCell ref="F7:G7"/>
    <mergeCell ref="H7:J7"/>
    <mergeCell ref="K7:M7"/>
    <mergeCell ref="B8:D8"/>
    <mergeCell ref="F8:G8"/>
    <mergeCell ref="H8:J8"/>
    <mergeCell ref="K8:M8"/>
    <mergeCell ref="B9:D9"/>
    <mergeCell ref="F9:G9"/>
    <mergeCell ref="H9:J9"/>
    <mergeCell ref="K9:M9"/>
    <mergeCell ref="B10:D10"/>
    <mergeCell ref="F10:G10"/>
    <mergeCell ref="H10:J10"/>
    <mergeCell ref="K10:M10"/>
    <mergeCell ref="B11:D11"/>
    <mergeCell ref="F11:G11"/>
    <mergeCell ref="H11:J11"/>
    <mergeCell ref="K11:M11"/>
    <mergeCell ref="B12:D12"/>
    <mergeCell ref="F12:G12"/>
    <mergeCell ref="H12:J12"/>
    <mergeCell ref="K12:M12"/>
    <mergeCell ref="B13:D13"/>
    <mergeCell ref="F13:G13"/>
    <mergeCell ref="H13:J13"/>
    <mergeCell ref="K13:M13"/>
    <mergeCell ref="B14:D14"/>
    <mergeCell ref="F14:G14"/>
    <mergeCell ref="H14:J14"/>
    <mergeCell ref="K14:M14"/>
    <mergeCell ref="B15:D15"/>
    <mergeCell ref="F15:G15"/>
    <mergeCell ref="H15:J15"/>
    <mergeCell ref="K15:M15"/>
    <mergeCell ref="B16:D16"/>
    <mergeCell ref="F16:G16"/>
    <mergeCell ref="H16:J16"/>
    <mergeCell ref="K16:M16"/>
    <mergeCell ref="B17:D17"/>
    <mergeCell ref="F17:G17"/>
    <mergeCell ref="H17:J17"/>
    <mergeCell ref="K17:M17"/>
    <mergeCell ref="B20:M20"/>
    <mergeCell ref="B21:D21"/>
    <mergeCell ref="F21:M21"/>
    <mergeCell ref="B22:D22"/>
    <mergeCell ref="F22:M22"/>
    <mergeCell ref="B23:D23"/>
    <mergeCell ref="F23:M23"/>
    <mergeCell ref="B24:D24"/>
    <mergeCell ref="F24:M24"/>
    <mergeCell ref="B25:D25"/>
    <mergeCell ref="F25:M25"/>
    <mergeCell ref="B26:D26"/>
    <mergeCell ref="F26:M26"/>
    <mergeCell ref="B29:M29"/>
    <mergeCell ref="B30:M30"/>
  </mergeCells>
  <conditionalFormatting sqref="K8">
    <cfRule type="expression" priority="2" aboveAverage="0" equalAverage="0" bottom="0" percent="0" rank="0" text="" dxfId="5">
      <formula>EXACT(K8,"Overdue")</formula>
    </cfRule>
  </conditionalFormatting>
  <conditionalFormatting sqref="K9">
    <cfRule type="expression" priority="3" aboveAverage="0" equalAverage="0" bottom="0" percent="0" rank="0" text="" dxfId="5">
      <formula>EXACT(K9,"Overdue")</formula>
    </cfRule>
  </conditionalFormatting>
  <conditionalFormatting sqref="K10">
    <cfRule type="expression" priority="4" aboveAverage="0" equalAverage="0" bottom="0" percent="0" rank="0" text="" dxfId="5">
      <formula>EXACT(K10,"Overdue")</formula>
    </cfRule>
  </conditionalFormatting>
  <conditionalFormatting sqref="K11">
    <cfRule type="expression" priority="5" aboveAverage="0" equalAverage="0" bottom="0" percent="0" rank="0" text="" dxfId="5">
      <formula>EXACT(K11,"Overdue")</formula>
    </cfRule>
  </conditionalFormatting>
  <conditionalFormatting sqref="K12">
    <cfRule type="expression" priority="6" aboveAverage="0" equalAverage="0" bottom="0" percent="0" rank="0" text="" dxfId="5">
      <formula>EXACT(K12,"Overdue")</formula>
    </cfRule>
  </conditionalFormatting>
  <conditionalFormatting sqref="K13">
    <cfRule type="expression" priority="7" aboveAverage="0" equalAverage="0" bottom="0" percent="0" rank="0" text="" dxfId="5">
      <formula>EXACT(K13,"Overdue")</formula>
    </cfRule>
  </conditionalFormatting>
  <conditionalFormatting sqref="K14">
    <cfRule type="expression" priority="8" aboveAverage="0" equalAverage="0" bottom="0" percent="0" rank="0" text="" dxfId="5">
      <formula>EXACT(K14,"Overdue")</formula>
    </cfRule>
  </conditionalFormatting>
  <conditionalFormatting sqref="K15">
    <cfRule type="expression" priority="9" aboveAverage="0" equalAverage="0" bottom="0" percent="0" rank="0" text="" dxfId="5">
      <formula>EXACT(K15,"Overdue")</formula>
    </cfRule>
  </conditionalFormatting>
  <conditionalFormatting sqref="K16">
    <cfRule type="expression" priority="10" aboveAverage="0" equalAverage="0" bottom="0" percent="0" rank="0" text="" dxfId="5">
      <formula>EXACT(K16,"Overdue")</formula>
    </cfRule>
  </conditionalFormatting>
  <conditionalFormatting sqref="K17">
    <cfRule type="expression" priority="11" aboveAverage="0" equalAverage="0" bottom="0" percent="0" rank="0" text="" dxfId="5">
      <formula>EXACT(K17,"Overdue")</formula>
    </cfRule>
  </conditionalFormatting>
  <dataValidations count="5">
    <dataValidation allowBlank="true" errorStyle="stop" operator="greaterThan" showDropDown="false" showErrorMessage="false" showInputMessage="false" sqref="F22" type="decimal">
      <formula1>0</formula1>
      <formula2>0</formula2>
    </dataValidation>
    <dataValidation allowBlank="true" errorStyle="information" operator="between" showDropDown="false" showErrorMessage="false" showInputMessage="false" sqref="F21" type="list">
      <formula1>VendorNameList</formula1>
      <formula2>0</formula2>
    </dataValidation>
    <dataValidation allowBlank="true" errorStyle="stop" operator="greaterThan" showDropDown="false" showErrorMessage="false" showInputMessage="false" sqref="F23" type="date">
      <formula1>DATE(1999,12,31)</formula1>
      <formula2>0</formula2>
    </dataValidation>
    <dataValidation allowBlank="true" errorStyle="stop" operator="between" showDropDown="false" showErrorMessage="true" showInputMessage="false" sqref="F24" type="list">
      <formula1>rngBooleanChoice</formula1>
      <formula2>0</formula2>
    </dataValidation>
    <dataValidation allowBlank="true" errorStyle="stop" operator="between" showDropDown="false" showErrorMessage="true" showInputMessage="false" sqref="F25" type="list">
      <formula1>rngRecurrenceFrequencies</formula1>
      <formula2>0</formula2>
    </dataValidation>
  </dataValidations>
  <hyperlinks>
    <hyperlink ref="F2" r:id="rId1" display="Home"/>
    <hyperlink ref="G2" r:id="rId2" display="Quick Add"/>
    <hyperlink ref="H2" r:id="rId3" display="Bills"/>
    <hyperlink ref="J2" r:id="rId4" display="Clients"/>
    <hyperlink ref="K2" r:id="rId5" display="Goals"/>
    <hyperlink ref="L2" r:id="rId6" display="Insigh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4" min="2" style="1" width="12"/>
    <col collapsed="false" customWidth="true" hidden="false" outlineLevel="0" max="5" min="5" style="1" width="2"/>
    <col collapsed="false" customWidth="true" hidden="false" outlineLevel="0" max="8" min="6" style="1" width="12"/>
    <col collapsed="false" customWidth="true" hidden="false" outlineLevel="0" max="9" min="9" style="1" width="2"/>
    <col collapsed="false" customWidth="true" hidden="false" outlineLevel="0" max="13" min="10" style="1" width="12"/>
    <col collapsed="false" customWidth="true" hidden="false" outlineLevel="0" max="14" min="14" style="1" width="3.5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9.75" hidden="false" customHeight="true" outlineLevel="0" collapsed="false">
      <c r="A2" s="3"/>
      <c r="B2" s="4" t="str">
        <f aca="false">CurrentBusinessName</f>
        <v>Riverside Design Studio</v>
      </c>
      <c r="C2" s="4"/>
      <c r="D2" s="4"/>
      <c r="E2" s="3"/>
      <c r="F2" s="6" t="s">
        <v>0</v>
      </c>
      <c r="G2" s="6" t="s">
        <v>1</v>
      </c>
      <c r="H2" s="6" t="s">
        <v>2</v>
      </c>
      <c r="I2" s="3"/>
      <c r="J2" s="5" t="s">
        <v>3</v>
      </c>
      <c r="K2" s="6" t="s">
        <v>4</v>
      </c>
      <c r="L2" s="6" t="s">
        <v>5</v>
      </c>
      <c r="M2" s="3"/>
      <c r="N2" s="3"/>
      <c r="O2" s="2"/>
    </row>
    <row r="3" customFormat="false" ht="12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9.5" hidden="false" customHeight="true" outlineLevel="0" collapsed="false">
      <c r="A4" s="2"/>
      <c r="B4" s="7" t="s">
        <v>79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"/>
      <c r="O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9.5" hidden="false" customHeight="true" outlineLevel="0" collapsed="false">
      <c r="A6" s="2"/>
      <c r="B6" s="14" t="s">
        <v>80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"/>
      <c r="O6" s="2"/>
    </row>
    <row r="7" customFormat="false" ht="18" hidden="false" customHeight="true" outlineLevel="0" collapsed="false">
      <c r="A7" s="2"/>
      <c r="B7" s="41" t="s">
        <v>81</v>
      </c>
      <c r="C7" s="41"/>
      <c r="D7" s="41"/>
      <c r="E7" s="19"/>
      <c r="F7" s="42" t="s">
        <v>46</v>
      </c>
      <c r="G7" s="42"/>
      <c r="H7" s="42" t="s">
        <v>68</v>
      </c>
      <c r="I7" s="42"/>
      <c r="J7" s="42"/>
      <c r="K7" s="43" t="s">
        <v>69</v>
      </c>
      <c r="L7" s="43"/>
      <c r="M7" s="43"/>
      <c r="N7" s="2"/>
      <c r="O7" s="2"/>
    </row>
    <row r="8" customFormat="false" ht="18" hidden="false" customHeight="true" outlineLevel="0" collapsed="false">
      <c r="A8" s="2"/>
      <c r="B8" s="44" t="str">
        <f aca="false">IFERROR(INDEX(tbl_Customers[CustomerName],MATCH(INDEX(tbl_Invoices[CustomerID],1),tbl_Customers[CustomerID],0)),"")</f>
        <v>Blue Harbor Cafe</v>
      </c>
      <c r="C8" s="44"/>
      <c r="D8" s="44"/>
      <c r="E8" s="19"/>
      <c r="F8" s="45" t="n">
        <f aca="false">IFERROR(INDEX(tbl_Invoices[Amount],1),"")</f>
        <v>1200</v>
      </c>
      <c r="G8" s="45"/>
      <c r="H8" s="46" t="n">
        <f aca="false">IFERROR(INDEX(tbl_Invoices[DueDate],1),"")</f>
        <v>46202</v>
      </c>
      <c r="I8" s="46"/>
      <c r="J8" s="46"/>
      <c r="K8" s="47" t="str">
        <f aca="false">IFERROR(INDEX(tbl_Invoices[Status],1),"")</f>
        <v>Overdue</v>
      </c>
      <c r="L8" s="47"/>
      <c r="M8" s="47"/>
      <c r="N8" s="2"/>
      <c r="O8" s="2"/>
    </row>
    <row r="9" customFormat="false" ht="18" hidden="false" customHeight="true" outlineLevel="0" collapsed="false">
      <c r="A9" s="2"/>
      <c r="B9" s="44" t="str">
        <f aca="false">IFERROR(INDEX(tbl_Customers[CustomerName],MATCH(INDEX(tbl_Invoices[CustomerID],2),tbl_Customers[CustomerID],0)),"")</f>
        <v>Blue Harbor Cafe</v>
      </c>
      <c r="C9" s="44"/>
      <c r="D9" s="44"/>
      <c r="E9" s="19"/>
      <c r="F9" s="45" t="n">
        <f aca="false">IFERROR(INDEX(tbl_Invoices[Amount],2),"")</f>
        <v>500</v>
      </c>
      <c r="G9" s="45"/>
      <c r="H9" s="46" t="n">
        <f aca="false">IFERROR(INDEX(tbl_Invoices[DueDate],2),"")</f>
        <v>46227</v>
      </c>
      <c r="I9" s="46"/>
      <c r="J9" s="46"/>
      <c r="K9" s="47" t="str">
        <f aca="false">IFERROR(INDEX(tbl_Invoices[Status],2),"")</f>
        <v>Sent</v>
      </c>
      <c r="L9" s="47"/>
      <c r="M9" s="47"/>
      <c r="N9" s="2"/>
      <c r="O9" s="2"/>
    </row>
    <row r="10" customFormat="false" ht="18" hidden="false" customHeight="true" outlineLevel="0" collapsed="false">
      <c r="A10" s="2"/>
      <c r="B10" s="44" t="str">
        <f aca="false">IFERROR(INDEX(tbl_Customers[CustomerName],MATCH(INDEX(tbl_Invoices[CustomerID],3),tbl_Customers[CustomerID],0)),"")</f>
        <v/>
      </c>
      <c r="C10" s="44"/>
      <c r="D10" s="44"/>
      <c r="E10" s="19"/>
      <c r="F10" s="45" t="str">
        <f aca="false">IFERROR(INDEX(tbl_Invoices[Amount],3),"")</f>
        <v/>
      </c>
      <c r="G10" s="45"/>
      <c r="H10" s="46" t="str">
        <f aca="false">IFERROR(INDEX(tbl_Invoices[DueDate],3),"")</f>
        <v/>
      </c>
      <c r="I10" s="46"/>
      <c r="J10" s="46"/>
      <c r="K10" s="47" t="str">
        <f aca="false">IFERROR(INDEX(tbl_Invoices[Status],3),"")</f>
        <v/>
      </c>
      <c r="L10" s="47"/>
      <c r="M10" s="47"/>
      <c r="N10" s="2"/>
      <c r="O10" s="2"/>
    </row>
    <row r="11" customFormat="false" ht="18" hidden="false" customHeight="true" outlineLevel="0" collapsed="false">
      <c r="A11" s="2"/>
      <c r="B11" s="44" t="str">
        <f aca="false">IFERROR(INDEX(tbl_Customers[CustomerName],MATCH(INDEX(tbl_Invoices[CustomerID],4),tbl_Customers[CustomerID],0)),"")</f>
        <v/>
      </c>
      <c r="C11" s="44"/>
      <c r="D11" s="44"/>
      <c r="E11" s="19"/>
      <c r="F11" s="45" t="str">
        <f aca="false">IFERROR(INDEX(tbl_Invoices[Amount],4),"")</f>
        <v/>
      </c>
      <c r="G11" s="45"/>
      <c r="H11" s="46" t="str">
        <f aca="false">IFERROR(INDEX(tbl_Invoices[DueDate],4),"")</f>
        <v/>
      </c>
      <c r="I11" s="46"/>
      <c r="J11" s="46"/>
      <c r="K11" s="47" t="str">
        <f aca="false">IFERROR(INDEX(tbl_Invoices[Status],4),"")</f>
        <v/>
      </c>
      <c r="L11" s="47"/>
      <c r="M11" s="47"/>
      <c r="N11" s="2"/>
      <c r="O11" s="2"/>
    </row>
    <row r="12" customFormat="false" ht="18" hidden="false" customHeight="true" outlineLevel="0" collapsed="false">
      <c r="A12" s="2"/>
      <c r="B12" s="44" t="str">
        <f aca="false">IFERROR(INDEX(tbl_Customers[CustomerName],MATCH(INDEX(tbl_Invoices[CustomerID],5),tbl_Customers[CustomerID],0)),"")</f>
        <v/>
      </c>
      <c r="C12" s="44"/>
      <c r="D12" s="44"/>
      <c r="E12" s="19"/>
      <c r="F12" s="45" t="str">
        <f aca="false">IFERROR(INDEX(tbl_Invoices[Amount],5),"")</f>
        <v/>
      </c>
      <c r="G12" s="45"/>
      <c r="H12" s="46" t="str">
        <f aca="false">IFERROR(INDEX(tbl_Invoices[DueDate],5),"")</f>
        <v/>
      </c>
      <c r="I12" s="46"/>
      <c r="J12" s="46"/>
      <c r="K12" s="47" t="str">
        <f aca="false">IFERROR(INDEX(tbl_Invoices[Status],5),"")</f>
        <v/>
      </c>
      <c r="L12" s="47"/>
      <c r="M12" s="47"/>
      <c r="N12" s="2"/>
      <c r="O12" s="2"/>
    </row>
    <row r="13" customFormat="false" ht="18" hidden="false" customHeight="true" outlineLevel="0" collapsed="false">
      <c r="A13" s="2"/>
      <c r="B13" s="44" t="str">
        <f aca="false">IFERROR(INDEX(tbl_Customers[CustomerName],MATCH(INDEX(tbl_Invoices[CustomerID],6),tbl_Customers[CustomerID],0)),"")</f>
        <v/>
      </c>
      <c r="C13" s="44"/>
      <c r="D13" s="44"/>
      <c r="E13" s="19"/>
      <c r="F13" s="45" t="str">
        <f aca="false">IFERROR(INDEX(tbl_Invoices[Amount],6),"")</f>
        <v/>
      </c>
      <c r="G13" s="45"/>
      <c r="H13" s="46" t="str">
        <f aca="false">IFERROR(INDEX(tbl_Invoices[DueDate],6),"")</f>
        <v/>
      </c>
      <c r="I13" s="46"/>
      <c r="J13" s="46"/>
      <c r="K13" s="47" t="str">
        <f aca="false">IFERROR(INDEX(tbl_Invoices[Status],6),"")</f>
        <v/>
      </c>
      <c r="L13" s="47"/>
      <c r="M13" s="47"/>
      <c r="N13" s="2"/>
      <c r="O13" s="2"/>
    </row>
    <row r="14" customFormat="false" ht="18" hidden="false" customHeight="true" outlineLevel="0" collapsed="false">
      <c r="A14" s="2"/>
      <c r="B14" s="44" t="str">
        <f aca="false">IFERROR(INDEX(tbl_Customers[CustomerName],MATCH(INDEX(tbl_Invoices[CustomerID],7),tbl_Customers[CustomerID],0)),"")</f>
        <v/>
      </c>
      <c r="C14" s="44"/>
      <c r="D14" s="44"/>
      <c r="E14" s="19"/>
      <c r="F14" s="45" t="str">
        <f aca="false">IFERROR(INDEX(tbl_Invoices[Amount],7),"")</f>
        <v/>
      </c>
      <c r="G14" s="45"/>
      <c r="H14" s="46" t="str">
        <f aca="false">IFERROR(INDEX(tbl_Invoices[DueDate],7),"")</f>
        <v/>
      </c>
      <c r="I14" s="46"/>
      <c r="J14" s="46"/>
      <c r="K14" s="47" t="str">
        <f aca="false">IFERROR(INDEX(tbl_Invoices[Status],7),"")</f>
        <v/>
      </c>
      <c r="L14" s="47"/>
      <c r="M14" s="47"/>
      <c r="N14" s="2"/>
      <c r="O14" s="2"/>
    </row>
    <row r="15" customFormat="false" ht="18" hidden="false" customHeight="true" outlineLevel="0" collapsed="false">
      <c r="A15" s="2"/>
      <c r="B15" s="44" t="str">
        <f aca="false">IFERROR(INDEX(tbl_Customers[CustomerName],MATCH(INDEX(tbl_Invoices[CustomerID],8),tbl_Customers[CustomerID],0)),"")</f>
        <v/>
      </c>
      <c r="C15" s="44"/>
      <c r="D15" s="44"/>
      <c r="E15" s="19"/>
      <c r="F15" s="45" t="str">
        <f aca="false">IFERROR(INDEX(tbl_Invoices[Amount],8),"")</f>
        <v/>
      </c>
      <c r="G15" s="45"/>
      <c r="H15" s="46" t="str">
        <f aca="false">IFERROR(INDEX(tbl_Invoices[DueDate],8),"")</f>
        <v/>
      </c>
      <c r="I15" s="46"/>
      <c r="J15" s="46"/>
      <c r="K15" s="47" t="str">
        <f aca="false">IFERROR(INDEX(tbl_Invoices[Status],8),"")</f>
        <v/>
      </c>
      <c r="L15" s="47"/>
      <c r="M15" s="47"/>
      <c r="N15" s="2"/>
      <c r="O15" s="2"/>
    </row>
    <row r="16" customFormat="false" ht="18" hidden="false" customHeight="true" outlineLevel="0" collapsed="false">
      <c r="A16" s="2"/>
      <c r="B16" s="44" t="str">
        <f aca="false">IFERROR(INDEX(tbl_Customers[CustomerName],MATCH(INDEX(tbl_Invoices[CustomerID],9),tbl_Customers[CustomerID],0)),"")</f>
        <v/>
      </c>
      <c r="C16" s="44"/>
      <c r="D16" s="44"/>
      <c r="E16" s="19"/>
      <c r="F16" s="45" t="str">
        <f aca="false">IFERROR(INDEX(tbl_Invoices[Amount],9),"")</f>
        <v/>
      </c>
      <c r="G16" s="45"/>
      <c r="H16" s="46" t="str">
        <f aca="false">IFERROR(INDEX(tbl_Invoices[DueDate],9),"")</f>
        <v/>
      </c>
      <c r="I16" s="46"/>
      <c r="J16" s="46"/>
      <c r="K16" s="47" t="str">
        <f aca="false">IFERROR(INDEX(tbl_Invoices[Status],9),"")</f>
        <v/>
      </c>
      <c r="L16" s="47"/>
      <c r="M16" s="47"/>
      <c r="N16" s="2"/>
      <c r="O16" s="2"/>
    </row>
    <row r="17" customFormat="false" ht="18" hidden="false" customHeight="true" outlineLevel="0" collapsed="false">
      <c r="A17" s="2"/>
      <c r="B17" s="44" t="str">
        <f aca="false">IFERROR(INDEX(tbl_Customers[CustomerName],MATCH(INDEX(tbl_Invoices[CustomerID],10),tbl_Customers[CustomerID],0)),"")</f>
        <v/>
      </c>
      <c r="C17" s="44"/>
      <c r="D17" s="44"/>
      <c r="E17" s="19"/>
      <c r="F17" s="45" t="str">
        <f aca="false">IFERROR(INDEX(tbl_Invoices[Amount],10),"")</f>
        <v/>
      </c>
      <c r="G17" s="45"/>
      <c r="H17" s="46" t="str">
        <f aca="false">IFERROR(INDEX(tbl_Invoices[DueDate],10),"")</f>
        <v/>
      </c>
      <c r="I17" s="46"/>
      <c r="J17" s="46"/>
      <c r="K17" s="47" t="str">
        <f aca="false">IFERROR(INDEX(tbl_Invoices[Status],10),"")</f>
        <v/>
      </c>
      <c r="L17" s="47"/>
      <c r="M17" s="47"/>
      <c r="N17" s="2"/>
      <c r="O17" s="2"/>
    </row>
    <row r="18" customFormat="false" ht="15.75" hidden="false" customHeight="true" outlineLevel="0" collapsed="false">
      <c r="A18" s="2"/>
      <c r="B18" s="22"/>
      <c r="C18" s="3"/>
      <c r="D18" s="3"/>
      <c r="E18" s="3"/>
      <c r="F18" s="3"/>
      <c r="G18" s="3"/>
      <c r="H18" s="3"/>
      <c r="I18" s="3"/>
      <c r="J18" s="3"/>
      <c r="K18" s="3"/>
      <c r="L18" s="3"/>
      <c r="M18" s="17"/>
      <c r="N18" s="2"/>
      <c r="O18" s="2"/>
    </row>
    <row r="19" customFormat="false" ht="24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9.5" hidden="false" customHeight="true" outlineLevel="0" collapsed="false">
      <c r="A20" s="2"/>
      <c r="B20" s="14" t="s">
        <v>82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"/>
      <c r="O20" s="2"/>
    </row>
    <row r="21" customFormat="false" ht="21.75" hidden="false" customHeight="true" outlineLevel="0" collapsed="false">
      <c r="A21" s="2"/>
      <c r="B21" s="24" t="s">
        <v>81</v>
      </c>
      <c r="C21" s="24"/>
      <c r="D21" s="24"/>
      <c r="E21" s="19"/>
      <c r="F21" s="25"/>
      <c r="G21" s="25"/>
      <c r="H21" s="25"/>
      <c r="I21" s="25"/>
      <c r="J21" s="25"/>
      <c r="K21" s="25"/>
      <c r="L21" s="25"/>
      <c r="M21" s="25"/>
      <c r="N21" s="2"/>
      <c r="O21" s="2"/>
    </row>
    <row r="22" customFormat="false" ht="21.75" hidden="false" customHeight="true" outlineLevel="0" collapsed="false">
      <c r="A22" s="2"/>
      <c r="B22" s="24" t="s">
        <v>46</v>
      </c>
      <c r="C22" s="24"/>
      <c r="D22" s="24"/>
      <c r="E22" s="19"/>
      <c r="F22" s="32"/>
      <c r="G22" s="32"/>
      <c r="H22" s="32"/>
      <c r="I22" s="32"/>
      <c r="J22" s="32"/>
      <c r="K22" s="32"/>
      <c r="L22" s="32"/>
      <c r="M22" s="32"/>
      <c r="N22" s="2"/>
      <c r="O22" s="2"/>
    </row>
    <row r="23" customFormat="false" ht="21.75" hidden="false" customHeight="true" outlineLevel="0" collapsed="false">
      <c r="A23" s="2"/>
      <c r="B23" s="24" t="s">
        <v>68</v>
      </c>
      <c r="C23" s="24"/>
      <c r="D23" s="24"/>
      <c r="E23" s="19"/>
      <c r="F23" s="31"/>
      <c r="G23" s="31"/>
      <c r="H23" s="31"/>
      <c r="I23" s="31"/>
      <c r="J23" s="31"/>
      <c r="K23" s="31"/>
      <c r="L23" s="31"/>
      <c r="M23" s="31"/>
      <c r="N23" s="2"/>
      <c r="O23" s="2"/>
    </row>
    <row r="24" customFormat="false" ht="21.75" hidden="false" customHeight="true" outlineLevel="0" collapsed="false">
      <c r="A24" s="2"/>
      <c r="B24" s="26" t="s">
        <v>50</v>
      </c>
      <c r="C24" s="26"/>
      <c r="D24" s="26"/>
      <c r="E24" s="3"/>
      <c r="F24" s="27"/>
      <c r="G24" s="27"/>
      <c r="H24" s="27"/>
      <c r="I24" s="27"/>
      <c r="J24" s="27"/>
      <c r="K24" s="27"/>
      <c r="L24" s="27"/>
      <c r="M24" s="27"/>
      <c r="N24" s="2"/>
      <c r="O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24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9.5" hidden="false" customHeight="true" outlineLevel="0" collapsed="false">
      <c r="A27" s="2"/>
      <c r="B27" s="33" t="s">
        <v>51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2"/>
      <c r="O27" s="2"/>
    </row>
    <row r="28" customFormat="false" ht="33.75" hidden="false" customHeight="true" outlineLevel="0" collapsed="false">
      <c r="A28" s="2"/>
      <c r="B28" s="34" t="s">
        <v>83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2"/>
      <c r="O28" s="2"/>
    </row>
    <row r="29" customFormat="false" ht="19.5" hidden="false" customHeight="true" outlineLevel="0" collapsed="false">
      <c r="A29" s="2"/>
      <c r="B29" s="35" t="s">
        <v>84</v>
      </c>
      <c r="C29" s="35" t="s">
        <v>56</v>
      </c>
      <c r="D29" s="35" t="s">
        <v>85</v>
      </c>
      <c r="E29" s="35" t="s">
        <v>75</v>
      </c>
      <c r="F29" s="35" t="s">
        <v>46</v>
      </c>
      <c r="G29" s="35" t="s">
        <v>69</v>
      </c>
      <c r="H29" s="35" t="s">
        <v>86</v>
      </c>
      <c r="I29" s="35" t="s">
        <v>77</v>
      </c>
      <c r="J29" s="35" t="s">
        <v>78</v>
      </c>
      <c r="K29" s="48"/>
      <c r="L29" s="48"/>
      <c r="M29" s="48"/>
      <c r="N29" s="2"/>
      <c r="O29" s="2"/>
    </row>
    <row r="30" customFormat="false" ht="19.5" hidden="false" customHeight="true" outlineLevel="0" collapsed="false">
      <c r="A30" s="2"/>
      <c r="B30" s="36" t="str">
        <f aca="false" t="array" ref="B30:B30">"INV-"&amp;TEXT(MAX(IFERROR(VALUE(MID(tbl_Invoices[InvoiceID],5,10)),0))+1,"0000")</f>
        <v>INV-0003</v>
      </c>
      <c r="C30" s="37" t="str">
        <f aca="false">IFERROR(INDEX(tbl_Customers[CustomerID],MATCH(F21,tbl_Customers[CustomerName],0)),"")</f>
        <v/>
      </c>
      <c r="D30" s="37" t="n">
        <f aca="true">TODAY()</f>
        <v>46221</v>
      </c>
      <c r="E30" s="38" t="n">
        <f aca="false">F23</f>
        <v>0</v>
      </c>
      <c r="F30" s="38" t="n">
        <f aca="false">F22</f>
        <v>0</v>
      </c>
      <c r="G30" s="36" t="str">
        <f aca="true">IF(F23="","",IF(F23&lt;TODAY(),"Overdue","Sent"))</f>
        <v/>
      </c>
      <c r="H30" s="36"/>
      <c r="I30" s="36"/>
      <c r="J30" s="36" t="n">
        <f aca="false">F24</f>
        <v>0</v>
      </c>
      <c r="K30" s="48"/>
      <c r="L30" s="48"/>
      <c r="M30" s="48"/>
      <c r="N30" s="2"/>
      <c r="O30" s="2"/>
    </row>
    <row r="31" customFormat="false" ht="31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</sheetData>
  <sheetProtection sheet="true" password="ecaf" formatCells="false" formatColumns="false" formatRows="false" insertColumns="false" insertRows="false" deleteColumns="false" deleteRows="false" sort="false" autoFilter="false"/>
  <mergeCells count="58">
    <mergeCell ref="B2:D2"/>
    <mergeCell ref="B4:M4"/>
    <mergeCell ref="B6:M6"/>
    <mergeCell ref="B7:D7"/>
    <mergeCell ref="F7:G7"/>
    <mergeCell ref="H7:J7"/>
    <mergeCell ref="K7:M7"/>
    <mergeCell ref="B8:D8"/>
    <mergeCell ref="F8:G8"/>
    <mergeCell ref="H8:J8"/>
    <mergeCell ref="K8:M8"/>
    <mergeCell ref="B9:D9"/>
    <mergeCell ref="F9:G9"/>
    <mergeCell ref="H9:J9"/>
    <mergeCell ref="K9:M9"/>
    <mergeCell ref="B10:D10"/>
    <mergeCell ref="F10:G10"/>
    <mergeCell ref="H10:J10"/>
    <mergeCell ref="K10:M10"/>
    <mergeCell ref="B11:D11"/>
    <mergeCell ref="F11:G11"/>
    <mergeCell ref="H11:J11"/>
    <mergeCell ref="K11:M11"/>
    <mergeCell ref="B12:D12"/>
    <mergeCell ref="F12:G12"/>
    <mergeCell ref="H12:J12"/>
    <mergeCell ref="K12:M12"/>
    <mergeCell ref="B13:D13"/>
    <mergeCell ref="F13:G13"/>
    <mergeCell ref="H13:J13"/>
    <mergeCell ref="K13:M13"/>
    <mergeCell ref="B14:D14"/>
    <mergeCell ref="F14:G14"/>
    <mergeCell ref="H14:J14"/>
    <mergeCell ref="K14:M14"/>
    <mergeCell ref="B15:D15"/>
    <mergeCell ref="F15:G15"/>
    <mergeCell ref="H15:J15"/>
    <mergeCell ref="K15:M15"/>
    <mergeCell ref="B16:D16"/>
    <mergeCell ref="F16:G16"/>
    <mergeCell ref="H16:J16"/>
    <mergeCell ref="K16:M16"/>
    <mergeCell ref="B17:D17"/>
    <mergeCell ref="F17:G17"/>
    <mergeCell ref="H17:J17"/>
    <mergeCell ref="K17:M17"/>
    <mergeCell ref="B20:M20"/>
    <mergeCell ref="B21:D21"/>
    <mergeCell ref="F21:M21"/>
    <mergeCell ref="B22:D22"/>
    <mergeCell ref="F22:M22"/>
    <mergeCell ref="B23:D23"/>
    <mergeCell ref="F23:M23"/>
    <mergeCell ref="B24:D24"/>
    <mergeCell ref="F24:M24"/>
    <mergeCell ref="B27:M27"/>
    <mergeCell ref="B28:M28"/>
  </mergeCells>
  <conditionalFormatting sqref="K8">
    <cfRule type="expression" priority="2" aboveAverage="0" equalAverage="0" bottom="0" percent="0" rank="0" text="" dxfId="5">
      <formula>EXACT(K8,"Overdue")</formula>
    </cfRule>
  </conditionalFormatting>
  <conditionalFormatting sqref="K9">
    <cfRule type="expression" priority="3" aboveAverage="0" equalAverage="0" bottom="0" percent="0" rank="0" text="" dxfId="5">
      <formula>EXACT(K9,"Overdue")</formula>
    </cfRule>
  </conditionalFormatting>
  <conditionalFormatting sqref="K10">
    <cfRule type="expression" priority="4" aboveAverage="0" equalAverage="0" bottom="0" percent="0" rank="0" text="" dxfId="5">
      <formula>EXACT(K10,"Overdue")</formula>
    </cfRule>
  </conditionalFormatting>
  <conditionalFormatting sqref="K11">
    <cfRule type="expression" priority="5" aboveAverage="0" equalAverage="0" bottom="0" percent="0" rank="0" text="" dxfId="5">
      <formula>EXACT(K11,"Overdue")</formula>
    </cfRule>
  </conditionalFormatting>
  <conditionalFormatting sqref="K12">
    <cfRule type="expression" priority="6" aboveAverage="0" equalAverage="0" bottom="0" percent="0" rank="0" text="" dxfId="5">
      <formula>EXACT(K12,"Overdue")</formula>
    </cfRule>
  </conditionalFormatting>
  <conditionalFormatting sqref="K13">
    <cfRule type="expression" priority="7" aboveAverage="0" equalAverage="0" bottom="0" percent="0" rank="0" text="" dxfId="5">
      <formula>EXACT(K13,"Overdue")</formula>
    </cfRule>
  </conditionalFormatting>
  <conditionalFormatting sqref="K14">
    <cfRule type="expression" priority="8" aboveAverage="0" equalAverage="0" bottom="0" percent="0" rank="0" text="" dxfId="5">
      <formula>EXACT(K14,"Overdue")</formula>
    </cfRule>
  </conditionalFormatting>
  <conditionalFormatting sqref="K15">
    <cfRule type="expression" priority="9" aboveAverage="0" equalAverage="0" bottom="0" percent="0" rank="0" text="" dxfId="5">
      <formula>EXACT(K15,"Overdue")</formula>
    </cfRule>
  </conditionalFormatting>
  <conditionalFormatting sqref="K16">
    <cfRule type="expression" priority="10" aboveAverage="0" equalAverage="0" bottom="0" percent="0" rank="0" text="" dxfId="5">
      <formula>EXACT(K16,"Overdue")</formula>
    </cfRule>
  </conditionalFormatting>
  <conditionalFormatting sqref="K17">
    <cfRule type="expression" priority="11" aboveAverage="0" equalAverage="0" bottom="0" percent="0" rank="0" text="" dxfId="5">
      <formula>EXACT(K17,"Overdue")</formula>
    </cfRule>
  </conditionalFormatting>
  <dataValidations count="3">
    <dataValidation allowBlank="true" errorStyle="stop" operator="greaterThan" showDropDown="false" showErrorMessage="false" showInputMessage="false" sqref="F22" type="decimal">
      <formula1>0</formula1>
      <formula2>0</formula2>
    </dataValidation>
    <dataValidation allowBlank="true" errorStyle="information" operator="between" showDropDown="false" showErrorMessage="false" showInputMessage="false" sqref="F21" type="list">
      <formula1>CustomerNameList</formula1>
      <formula2>0</formula2>
    </dataValidation>
    <dataValidation allowBlank="true" errorStyle="stop" operator="greaterThan" showDropDown="false" showErrorMessage="false" showInputMessage="false" sqref="F23" type="date">
      <formula1>DATE(1999,12,31)</formula1>
      <formula2>0</formula2>
    </dataValidation>
  </dataValidations>
  <hyperlinks>
    <hyperlink ref="F2" r:id="rId1" display="Home"/>
    <hyperlink ref="G2" r:id="rId2" display="Quick Add"/>
    <hyperlink ref="H2" r:id="rId3" display="Bills"/>
    <hyperlink ref="J2" r:id="rId4" display="Clients"/>
    <hyperlink ref="K2" r:id="rId5" display="Goals"/>
    <hyperlink ref="L2" r:id="rId6" display="Insigh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4" min="2" style="1" width="12"/>
    <col collapsed="false" customWidth="true" hidden="false" outlineLevel="0" max="5" min="5" style="1" width="2"/>
    <col collapsed="false" customWidth="true" hidden="false" outlineLevel="0" max="8" min="6" style="1" width="12"/>
    <col collapsed="false" customWidth="true" hidden="false" outlineLevel="0" max="9" min="9" style="1" width="2"/>
    <col collapsed="false" customWidth="true" hidden="false" outlineLevel="0" max="13" min="10" style="1" width="12"/>
    <col collapsed="false" customWidth="true" hidden="false" outlineLevel="0" max="14" min="14" style="1" width="3.5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9.75" hidden="false" customHeight="true" outlineLevel="0" collapsed="false">
      <c r="A2" s="3"/>
      <c r="B2" s="4" t="str">
        <f aca="false">CurrentBusinessName</f>
        <v>Riverside Design Studio</v>
      </c>
      <c r="C2" s="4"/>
      <c r="D2" s="4"/>
      <c r="E2" s="3"/>
      <c r="F2" s="6" t="s">
        <v>0</v>
      </c>
      <c r="G2" s="6" t="s">
        <v>1</v>
      </c>
      <c r="H2" s="6" t="s">
        <v>2</v>
      </c>
      <c r="I2" s="3"/>
      <c r="J2" s="6" t="s">
        <v>3</v>
      </c>
      <c r="K2" s="5" t="s">
        <v>4</v>
      </c>
      <c r="L2" s="6" t="s">
        <v>5</v>
      </c>
      <c r="M2" s="3"/>
      <c r="N2" s="3"/>
      <c r="O2" s="2"/>
    </row>
    <row r="3" customFormat="false" ht="12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9.5" hidden="false" customHeight="true" outlineLevel="0" collapsed="false">
      <c r="A4" s="2"/>
      <c r="B4" s="7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2"/>
      <c r="O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9.5" hidden="false" customHeight="true" outlineLevel="0" collapsed="false">
      <c r="A6" s="2"/>
      <c r="B6" s="14" t="s">
        <v>87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"/>
      <c r="O6" s="2"/>
    </row>
    <row r="7" customFormat="false" ht="18" hidden="false" customHeight="true" outlineLevel="0" collapsed="false">
      <c r="A7" s="2"/>
      <c r="B7" s="41" t="s">
        <v>88</v>
      </c>
      <c r="C7" s="41"/>
      <c r="D7" s="41"/>
      <c r="E7" s="19"/>
      <c r="F7" s="42" t="s">
        <v>89</v>
      </c>
      <c r="G7" s="42"/>
      <c r="H7" s="42" t="s">
        <v>90</v>
      </c>
      <c r="I7" s="42"/>
      <c r="J7" s="42"/>
      <c r="K7" s="43" t="s">
        <v>69</v>
      </c>
      <c r="L7" s="43"/>
      <c r="M7" s="43"/>
      <c r="N7" s="2"/>
      <c r="O7" s="2"/>
    </row>
    <row r="8" customFormat="false" ht="18" hidden="false" customHeight="true" outlineLevel="0" collapsed="false">
      <c r="A8" s="2"/>
      <c r="B8" s="44" t="str">
        <f aca="false">IFERROR(INDEX(tbl_Goals[GoalName],1),"")</f>
        <v>Emergency Fund</v>
      </c>
      <c r="C8" s="44"/>
      <c r="D8" s="44"/>
      <c r="E8" s="19"/>
      <c r="F8" s="49" t="str">
        <f aca="false">IF(B8="","","$"&amp;TEXT(INDEX(tbl_Goals[CurrentAmount],1),"#,##0")&amp;" of $"&amp;TEXT(INDEX(tbl_Goals[TargetAmount],1),"#,##0")&amp;" ("&amp;TEXT(INDEX(tbl_Goals[CurrentAmount],1)/INDEX(tbl_Goals[TargetAmount],1),"0%")&amp;")")</f>
        <v>$5,580 of $9,000 (62%)</v>
      </c>
      <c r="G8" s="49"/>
      <c r="H8" s="46" t="n">
        <f aca="false">IFERROR(INDEX(tbl_Goals[TargetDate],1),"")</f>
        <v>46387</v>
      </c>
      <c r="I8" s="46"/>
      <c r="J8" s="46"/>
      <c r="K8" s="47" t="str">
        <f aca="false">IFERROR(INDEX(tbl_Goals[Status],1),"")</f>
        <v>Active</v>
      </c>
      <c r="L8" s="47"/>
      <c r="M8" s="47"/>
      <c r="N8" s="2"/>
      <c r="O8" s="2"/>
    </row>
    <row r="9" customFormat="false" ht="18" hidden="false" customHeight="true" outlineLevel="0" collapsed="false">
      <c r="A9" s="2"/>
      <c r="B9" s="44" t="str">
        <f aca="false">IFERROR(INDEX(tbl_Goals[GoalName],2),"")</f>
        <v/>
      </c>
      <c r="C9" s="44"/>
      <c r="D9" s="44"/>
      <c r="E9" s="19"/>
      <c r="F9" s="49" t="str">
        <f aca="false">IF(B9="","","$"&amp;TEXT(INDEX(tbl_Goals[CurrentAmount],2),"#,##0")&amp;" of $"&amp;TEXT(INDEX(tbl_Goals[TargetAmount],2),"#,##0")&amp;" ("&amp;TEXT(INDEX(tbl_Goals[CurrentAmount],2)/INDEX(tbl_Goals[TargetAmount],2),"0%")&amp;")")</f>
        <v/>
      </c>
      <c r="G9" s="49"/>
      <c r="H9" s="46" t="str">
        <f aca="false">IFERROR(INDEX(tbl_Goals[TargetDate],2),"")</f>
        <v/>
      </c>
      <c r="I9" s="46"/>
      <c r="J9" s="46"/>
      <c r="K9" s="47" t="str">
        <f aca="false">IFERROR(INDEX(tbl_Goals[Status],2),"")</f>
        <v/>
      </c>
      <c r="L9" s="47"/>
      <c r="M9" s="47"/>
      <c r="N9" s="2"/>
      <c r="O9" s="2"/>
    </row>
    <row r="10" customFormat="false" ht="18" hidden="false" customHeight="true" outlineLevel="0" collapsed="false">
      <c r="A10" s="2"/>
      <c r="B10" s="44" t="str">
        <f aca="false">IFERROR(INDEX(tbl_Goals[GoalName],3),"")</f>
        <v/>
      </c>
      <c r="C10" s="44"/>
      <c r="D10" s="44"/>
      <c r="E10" s="19"/>
      <c r="F10" s="49" t="str">
        <f aca="false">IF(B10="","","$"&amp;TEXT(INDEX(tbl_Goals[CurrentAmount],3),"#,##0")&amp;" of $"&amp;TEXT(INDEX(tbl_Goals[TargetAmount],3),"#,##0")&amp;" ("&amp;TEXT(INDEX(tbl_Goals[CurrentAmount],3)/INDEX(tbl_Goals[TargetAmount],3),"0%")&amp;")")</f>
        <v/>
      </c>
      <c r="G10" s="49"/>
      <c r="H10" s="46" t="str">
        <f aca="false">IFERROR(INDEX(tbl_Goals[TargetDate],3),"")</f>
        <v/>
      </c>
      <c r="I10" s="46"/>
      <c r="J10" s="46"/>
      <c r="K10" s="47" t="str">
        <f aca="false">IFERROR(INDEX(tbl_Goals[Status],3),"")</f>
        <v/>
      </c>
      <c r="L10" s="47"/>
      <c r="M10" s="47"/>
      <c r="N10" s="2"/>
      <c r="O10" s="2"/>
    </row>
    <row r="11" customFormat="false" ht="18" hidden="false" customHeight="true" outlineLevel="0" collapsed="false">
      <c r="A11" s="2"/>
      <c r="B11" s="44" t="str">
        <f aca="false">IFERROR(INDEX(tbl_Goals[GoalName],4),"")</f>
        <v/>
      </c>
      <c r="C11" s="44"/>
      <c r="D11" s="44"/>
      <c r="E11" s="19"/>
      <c r="F11" s="49" t="str">
        <f aca="false">IF(B11="","","$"&amp;TEXT(INDEX(tbl_Goals[CurrentAmount],4),"#,##0")&amp;" of $"&amp;TEXT(INDEX(tbl_Goals[TargetAmount],4),"#,##0")&amp;" ("&amp;TEXT(INDEX(tbl_Goals[CurrentAmount],4)/INDEX(tbl_Goals[TargetAmount],4),"0%")&amp;")")</f>
        <v/>
      </c>
      <c r="G11" s="49"/>
      <c r="H11" s="46" t="str">
        <f aca="false">IFERROR(INDEX(tbl_Goals[TargetDate],4),"")</f>
        <v/>
      </c>
      <c r="I11" s="46"/>
      <c r="J11" s="46"/>
      <c r="K11" s="47" t="str">
        <f aca="false">IFERROR(INDEX(tbl_Goals[Status],4),"")</f>
        <v/>
      </c>
      <c r="L11" s="47"/>
      <c r="M11" s="47"/>
      <c r="N11" s="2"/>
      <c r="O11" s="2"/>
    </row>
    <row r="12" customFormat="false" ht="18" hidden="false" customHeight="true" outlineLevel="0" collapsed="false">
      <c r="A12" s="2"/>
      <c r="B12" s="44" t="str">
        <f aca="false">IFERROR(INDEX(tbl_Goals[GoalName],5),"")</f>
        <v/>
      </c>
      <c r="C12" s="44"/>
      <c r="D12" s="44"/>
      <c r="E12" s="19"/>
      <c r="F12" s="49" t="str">
        <f aca="false">IF(B12="","","$"&amp;TEXT(INDEX(tbl_Goals[CurrentAmount],5),"#,##0")&amp;" of $"&amp;TEXT(INDEX(tbl_Goals[TargetAmount],5),"#,##0")&amp;" ("&amp;TEXT(INDEX(tbl_Goals[CurrentAmount],5)/INDEX(tbl_Goals[TargetAmount],5),"0%")&amp;")")</f>
        <v/>
      </c>
      <c r="G12" s="49"/>
      <c r="H12" s="46" t="str">
        <f aca="false">IFERROR(INDEX(tbl_Goals[TargetDate],5),"")</f>
        <v/>
      </c>
      <c r="I12" s="46"/>
      <c r="J12" s="46"/>
      <c r="K12" s="47" t="str">
        <f aca="false">IFERROR(INDEX(tbl_Goals[Status],5),"")</f>
        <v/>
      </c>
      <c r="L12" s="47"/>
      <c r="M12" s="47"/>
      <c r="N12" s="2"/>
      <c r="O12" s="2"/>
    </row>
    <row r="13" customFormat="false" ht="18" hidden="false" customHeight="true" outlineLevel="0" collapsed="false">
      <c r="A13" s="2"/>
      <c r="B13" s="44" t="str">
        <f aca="false">IFERROR(INDEX(tbl_Goals[GoalName],6),"")</f>
        <v/>
      </c>
      <c r="C13" s="44"/>
      <c r="D13" s="44"/>
      <c r="E13" s="19"/>
      <c r="F13" s="49" t="str">
        <f aca="false">IF(B13="","","$"&amp;TEXT(INDEX(tbl_Goals[CurrentAmount],6),"#,##0")&amp;" of $"&amp;TEXT(INDEX(tbl_Goals[TargetAmount],6),"#,##0")&amp;" ("&amp;TEXT(INDEX(tbl_Goals[CurrentAmount],6)/INDEX(tbl_Goals[TargetAmount],6),"0%")&amp;")")</f>
        <v/>
      </c>
      <c r="G13" s="49"/>
      <c r="H13" s="46" t="str">
        <f aca="false">IFERROR(INDEX(tbl_Goals[TargetDate],6),"")</f>
        <v/>
      </c>
      <c r="I13" s="46"/>
      <c r="J13" s="46"/>
      <c r="K13" s="47" t="str">
        <f aca="false">IFERROR(INDEX(tbl_Goals[Status],6),"")</f>
        <v/>
      </c>
      <c r="L13" s="47"/>
      <c r="M13" s="47"/>
      <c r="N13" s="2"/>
      <c r="O13" s="2"/>
    </row>
    <row r="14" customFormat="false" ht="15.75" hidden="false" customHeight="true" outlineLevel="0" collapsed="false">
      <c r="A14" s="2"/>
      <c r="B14" s="22"/>
      <c r="C14" s="3"/>
      <c r="D14" s="3"/>
      <c r="E14" s="3"/>
      <c r="F14" s="3"/>
      <c r="G14" s="3"/>
      <c r="H14" s="3"/>
      <c r="I14" s="3"/>
      <c r="J14" s="3"/>
      <c r="K14" s="3"/>
      <c r="L14" s="3"/>
      <c r="M14" s="17"/>
      <c r="N14" s="2"/>
      <c r="O14" s="2"/>
    </row>
    <row r="15" customFormat="false" ht="24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9.5" hidden="false" customHeight="true" outlineLevel="0" collapsed="false">
      <c r="A16" s="2"/>
      <c r="B16" s="14" t="s">
        <v>91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"/>
      <c r="O16" s="2"/>
    </row>
    <row r="17" customFormat="false" ht="21.75" hidden="false" customHeight="true" outlineLevel="0" collapsed="false">
      <c r="A17" s="2"/>
      <c r="B17" s="24" t="s">
        <v>92</v>
      </c>
      <c r="C17" s="24"/>
      <c r="D17" s="24"/>
      <c r="E17" s="19"/>
      <c r="F17" s="25"/>
      <c r="G17" s="25"/>
      <c r="H17" s="25"/>
      <c r="I17" s="25"/>
      <c r="J17" s="25"/>
      <c r="K17" s="25"/>
      <c r="L17" s="25"/>
      <c r="M17" s="25"/>
      <c r="N17" s="2"/>
      <c r="O17" s="2"/>
    </row>
    <row r="18" customFormat="false" ht="21.75" hidden="false" customHeight="true" outlineLevel="0" collapsed="false">
      <c r="A18" s="2"/>
      <c r="B18" s="24" t="s">
        <v>93</v>
      </c>
      <c r="C18" s="24"/>
      <c r="D18" s="24"/>
      <c r="E18" s="19"/>
      <c r="F18" s="25"/>
      <c r="G18" s="25"/>
      <c r="H18" s="25"/>
      <c r="I18" s="25"/>
      <c r="J18" s="25"/>
      <c r="K18" s="25"/>
      <c r="L18" s="25"/>
      <c r="M18" s="25"/>
      <c r="N18" s="2"/>
      <c r="O18" s="2"/>
    </row>
    <row r="19" customFormat="false" ht="21.75" hidden="false" customHeight="true" outlineLevel="0" collapsed="false">
      <c r="A19" s="2"/>
      <c r="B19" s="24" t="s">
        <v>94</v>
      </c>
      <c r="C19" s="24"/>
      <c r="D19" s="24"/>
      <c r="E19" s="19"/>
      <c r="F19" s="32"/>
      <c r="G19" s="32"/>
      <c r="H19" s="32"/>
      <c r="I19" s="32"/>
      <c r="J19" s="32"/>
      <c r="K19" s="32"/>
      <c r="L19" s="32"/>
      <c r="M19" s="32"/>
      <c r="N19" s="2"/>
      <c r="O19" s="2"/>
    </row>
    <row r="20" customFormat="false" ht="21.75" hidden="false" customHeight="true" outlineLevel="0" collapsed="false">
      <c r="A20" s="2"/>
      <c r="B20" s="26" t="s">
        <v>95</v>
      </c>
      <c r="C20" s="26"/>
      <c r="D20" s="26"/>
      <c r="E20" s="3"/>
      <c r="F20" s="50"/>
      <c r="G20" s="50"/>
      <c r="H20" s="50"/>
      <c r="I20" s="50"/>
      <c r="J20" s="50"/>
      <c r="K20" s="50"/>
      <c r="L20" s="50"/>
      <c r="M20" s="50"/>
      <c r="N20" s="2"/>
      <c r="O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24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9.5" hidden="false" customHeight="true" outlineLevel="0" collapsed="false">
      <c r="A23" s="2"/>
      <c r="B23" s="33" t="s">
        <v>51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2"/>
      <c r="O23" s="2"/>
    </row>
    <row r="24" customFormat="false" ht="33.75" hidden="false" customHeight="true" outlineLevel="0" collapsed="false">
      <c r="A24" s="2"/>
      <c r="B24" s="34" t="s">
        <v>96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2"/>
      <c r="O24" s="2"/>
    </row>
    <row r="25" customFormat="false" ht="19.5" hidden="false" customHeight="true" outlineLevel="0" collapsed="false">
      <c r="A25" s="2"/>
      <c r="B25" s="35" t="s">
        <v>97</v>
      </c>
      <c r="C25" s="35" t="s">
        <v>98</v>
      </c>
      <c r="D25" s="35" t="s">
        <v>99</v>
      </c>
      <c r="E25" s="35" t="s">
        <v>100</v>
      </c>
      <c r="F25" s="35" t="s">
        <v>101</v>
      </c>
      <c r="G25" s="35" t="s">
        <v>102</v>
      </c>
      <c r="H25" s="35" t="s">
        <v>103</v>
      </c>
      <c r="I25" s="35" t="s">
        <v>69</v>
      </c>
      <c r="J25" s="35" t="s">
        <v>104</v>
      </c>
      <c r="K25" s="48"/>
      <c r="L25" s="48"/>
      <c r="M25" s="48"/>
      <c r="N25" s="2"/>
      <c r="O25" s="2"/>
    </row>
    <row r="26" customFormat="false" ht="19.5" hidden="false" customHeight="true" outlineLevel="0" collapsed="false">
      <c r="A26" s="2"/>
      <c r="B26" s="36" t="str">
        <f aca="false" t="array" ref="B26:B26">"GOAL-"&amp;TEXT(MAX(IFERROR(VALUE(MID(tbl_Goals[GoalID],6,10)),0))+1,"000")</f>
        <v>GOAL-002</v>
      </c>
      <c r="C26" s="36" t="n">
        <f aca="false">F17</f>
        <v>0</v>
      </c>
      <c r="D26" s="36" t="n">
        <f aca="false">F18</f>
        <v>0</v>
      </c>
      <c r="E26" s="38" t="n">
        <f aca="false">F19</f>
        <v>0</v>
      </c>
      <c r="F26" s="38" t="n">
        <v>0</v>
      </c>
      <c r="G26" s="37" t="n">
        <f aca="true">TODAY()</f>
        <v>46221</v>
      </c>
      <c r="H26" s="37" t="n">
        <f aca="false">F20</f>
        <v>0</v>
      </c>
      <c r="I26" s="36" t="s">
        <v>105</v>
      </c>
      <c r="J26" s="36" t="s">
        <v>106</v>
      </c>
      <c r="K26" s="48"/>
      <c r="L26" s="48"/>
      <c r="M26" s="48"/>
      <c r="N26" s="2"/>
      <c r="O26" s="2"/>
    </row>
    <row r="27" customFormat="false" ht="31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sheetProtection sheet="true" password="ecaf" formatCells="false" formatColumns="false" formatRows="false" insertColumns="false" insertRows="false" deleteColumns="false" deleteRows="false" sort="false" autoFilter="false"/>
  <mergeCells count="42">
    <mergeCell ref="B2:D2"/>
    <mergeCell ref="B4:M4"/>
    <mergeCell ref="B6:M6"/>
    <mergeCell ref="B7:D7"/>
    <mergeCell ref="F7:G7"/>
    <mergeCell ref="H7:J7"/>
    <mergeCell ref="K7:M7"/>
    <mergeCell ref="B8:D8"/>
    <mergeCell ref="F8:G8"/>
    <mergeCell ref="H8:J8"/>
    <mergeCell ref="K8:M8"/>
    <mergeCell ref="B9:D9"/>
    <mergeCell ref="F9:G9"/>
    <mergeCell ref="H9:J9"/>
    <mergeCell ref="K9:M9"/>
    <mergeCell ref="B10:D10"/>
    <mergeCell ref="F10:G10"/>
    <mergeCell ref="H10:J10"/>
    <mergeCell ref="K10:M10"/>
    <mergeCell ref="B11:D11"/>
    <mergeCell ref="F11:G11"/>
    <mergeCell ref="H11:J11"/>
    <mergeCell ref="K11:M11"/>
    <mergeCell ref="B12:D12"/>
    <mergeCell ref="F12:G12"/>
    <mergeCell ref="H12:J12"/>
    <mergeCell ref="K12:M12"/>
    <mergeCell ref="B13:D13"/>
    <mergeCell ref="F13:G13"/>
    <mergeCell ref="H13:J13"/>
    <mergeCell ref="K13:M13"/>
    <mergeCell ref="B16:M16"/>
    <mergeCell ref="B17:D17"/>
    <mergeCell ref="F17:M17"/>
    <mergeCell ref="B18:D18"/>
    <mergeCell ref="F18:M18"/>
    <mergeCell ref="B19:D19"/>
    <mergeCell ref="F19:M19"/>
    <mergeCell ref="B20:D20"/>
    <mergeCell ref="F20:M20"/>
    <mergeCell ref="B23:M23"/>
    <mergeCell ref="B24:M24"/>
  </mergeCells>
  <conditionalFormatting sqref="K8">
    <cfRule type="expression" priority="2" aboveAverage="0" equalAverage="0" bottom="0" percent="0" rank="0" text="" dxfId="4">
      <formula>EXACT(K8,"Achieved")</formula>
    </cfRule>
  </conditionalFormatting>
  <conditionalFormatting sqref="K9">
    <cfRule type="expression" priority="3" aboveAverage="0" equalAverage="0" bottom="0" percent="0" rank="0" text="" dxfId="4">
      <formula>EXACT(K9,"Achieved")</formula>
    </cfRule>
  </conditionalFormatting>
  <conditionalFormatting sqref="K10">
    <cfRule type="expression" priority="4" aboveAverage="0" equalAverage="0" bottom="0" percent="0" rank="0" text="" dxfId="4">
      <formula>EXACT(K10,"Achieved")</formula>
    </cfRule>
  </conditionalFormatting>
  <conditionalFormatting sqref="K11">
    <cfRule type="expression" priority="5" aboveAverage="0" equalAverage="0" bottom="0" percent="0" rank="0" text="" dxfId="4">
      <formula>EXACT(K11,"Achieved")</formula>
    </cfRule>
  </conditionalFormatting>
  <conditionalFormatting sqref="K12">
    <cfRule type="expression" priority="6" aboveAverage="0" equalAverage="0" bottom="0" percent="0" rank="0" text="" dxfId="4">
      <formula>EXACT(K12,"Achieved")</formula>
    </cfRule>
  </conditionalFormatting>
  <conditionalFormatting sqref="K13">
    <cfRule type="expression" priority="7" aboveAverage="0" equalAverage="0" bottom="0" percent="0" rank="0" text="" dxfId="4">
      <formula>EXACT(K13,"Achieved")</formula>
    </cfRule>
  </conditionalFormatting>
  <dataValidations count="3">
    <dataValidation allowBlank="true" errorStyle="stop" operator="greaterThan" showDropDown="false" showErrorMessage="false" showInputMessage="false" sqref="F19" type="decimal">
      <formula1>0</formula1>
      <formula2>0</formula2>
    </dataValidation>
    <dataValidation allowBlank="true" errorStyle="stop" operator="between" showDropDown="false" showErrorMessage="false" showInputMessage="false" sqref="F18" type="list">
      <formula1>rngGoalTypes</formula1>
      <formula2>0</formula2>
    </dataValidation>
    <dataValidation allowBlank="true" errorStyle="stop" operator="greaterThan" showDropDown="false" showErrorMessage="false" showInputMessage="false" sqref="F20" type="date">
      <formula1>DATE(1999,12,31)</formula1>
      <formula2>0</formula2>
    </dataValidation>
  </dataValidations>
  <hyperlinks>
    <hyperlink ref="F2" r:id="rId1" display="Home"/>
    <hyperlink ref="G2" r:id="rId2" display="Quick Add"/>
    <hyperlink ref="H2" r:id="rId3" display="Bills"/>
    <hyperlink ref="J2" r:id="rId4" display="Clients"/>
    <hyperlink ref="K2" r:id="rId5" display="Goals"/>
    <hyperlink ref="L2" r:id="rId6" display="Insigh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20"/>
  </cols>
  <sheetData>
    <row r="1" customFormat="false" ht="15" hidden="false" customHeight="true" outlineLevel="0" collapsed="false">
      <c r="A1" s="51" t="s">
        <v>53</v>
      </c>
      <c r="B1" s="51" t="s">
        <v>44</v>
      </c>
      <c r="C1" s="51" t="s">
        <v>54</v>
      </c>
      <c r="D1" s="51" t="s">
        <v>46</v>
      </c>
      <c r="E1" s="51" t="s">
        <v>55</v>
      </c>
      <c r="F1" s="51" t="s">
        <v>49</v>
      </c>
      <c r="G1" s="51" t="s">
        <v>56</v>
      </c>
      <c r="H1" s="51" t="s">
        <v>57</v>
      </c>
      <c r="I1" s="51" t="s">
        <v>58</v>
      </c>
      <c r="J1" s="51" t="s">
        <v>59</v>
      </c>
      <c r="K1" s="51" t="s">
        <v>60</v>
      </c>
      <c r="L1" s="51" t="s">
        <v>61</v>
      </c>
      <c r="M1" s="51" t="s">
        <v>62</v>
      </c>
      <c r="N1" s="51" t="s">
        <v>63</v>
      </c>
    </row>
    <row r="2" customFormat="false" ht="15" hidden="false" customHeight="true" outlineLevel="0" collapsed="false">
      <c r="A2" s="1" t="s">
        <v>107</v>
      </c>
      <c r="B2" s="52" t="n">
        <v>46211</v>
      </c>
      <c r="C2" s="53" t="s">
        <v>108</v>
      </c>
      <c r="D2" s="1" t="n">
        <v>45</v>
      </c>
      <c r="E2" s="1" t="s">
        <v>109</v>
      </c>
      <c r="F2" s="1" t="s">
        <v>110</v>
      </c>
      <c r="H2" s="1" t="s">
        <v>111</v>
      </c>
      <c r="K2" s="54" t="b">
        <f aca="false">FALSE()</f>
        <v>0</v>
      </c>
      <c r="M2" s="1" t="s">
        <v>64</v>
      </c>
      <c r="N2" s="1" t="s">
        <v>112</v>
      </c>
    </row>
    <row r="3" customFormat="false" ht="15" hidden="false" customHeight="true" outlineLevel="0" collapsed="false">
      <c r="C3" s="53"/>
    </row>
  </sheetData>
  <sheetProtection sheet="true" password="ecaf"/>
  <dataValidations count="2">
    <dataValidation allowBlank="false" errorStyle="stop" operator="between" showDropDown="false" showErrorMessage="false" showInputMessage="false" sqref="C2:C3" type="list">
      <formula1>rngTransactionDirection</formula1>
      <formula2>0</formula2>
    </dataValidation>
    <dataValidation allowBlank="false" errorStyle="stop" operator="between" showDropDown="false" showErrorMessage="false" showInputMessage="false" sqref="K2:K3" type="list">
      <formula1>rngBooleanChoice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0"/>
  </cols>
  <sheetData>
    <row r="1" customFormat="false" ht="15" hidden="false" customHeight="true" outlineLevel="0" collapsed="false">
      <c r="A1" s="51" t="s">
        <v>55</v>
      </c>
      <c r="B1" s="51" t="s">
        <v>113</v>
      </c>
      <c r="C1" s="51" t="s">
        <v>54</v>
      </c>
      <c r="D1" s="51" t="s">
        <v>114</v>
      </c>
      <c r="E1" s="51" t="s">
        <v>115</v>
      </c>
      <c r="F1" s="51" t="s">
        <v>104</v>
      </c>
    </row>
    <row r="2" customFormat="false" ht="15" hidden="false" customHeight="true" outlineLevel="0" collapsed="false">
      <c r="A2" s="1" t="s">
        <v>116</v>
      </c>
      <c r="B2" s="1" t="s">
        <v>117</v>
      </c>
      <c r="C2" s="53" t="s">
        <v>118</v>
      </c>
      <c r="D2" s="54" t="b">
        <f aca="false">TRUE()</f>
        <v>1</v>
      </c>
      <c r="E2" s="54" t="b">
        <f aca="false">FALSE()</f>
        <v>0</v>
      </c>
      <c r="F2" s="1" t="s">
        <v>119</v>
      </c>
    </row>
    <row r="3" customFormat="false" ht="15" hidden="false" customHeight="true" outlineLevel="0" collapsed="false">
      <c r="A3" s="1" t="s">
        <v>120</v>
      </c>
      <c r="B3" s="1" t="s">
        <v>121</v>
      </c>
      <c r="C3" s="53" t="s">
        <v>118</v>
      </c>
      <c r="D3" s="54" t="b">
        <f aca="false">TRUE()</f>
        <v>1</v>
      </c>
      <c r="E3" s="54" t="b">
        <f aca="false">FALSE()</f>
        <v>0</v>
      </c>
      <c r="F3" s="1" t="s">
        <v>122</v>
      </c>
    </row>
    <row r="4" customFormat="false" ht="15" hidden="false" customHeight="true" outlineLevel="0" collapsed="false">
      <c r="A4" s="1" t="s">
        <v>123</v>
      </c>
      <c r="B4" s="1" t="s">
        <v>124</v>
      </c>
      <c r="C4" s="53" t="s">
        <v>118</v>
      </c>
      <c r="D4" s="54" t="b">
        <f aca="false">TRUE()</f>
        <v>1</v>
      </c>
      <c r="E4" s="54" t="b">
        <f aca="false">FALSE()</f>
        <v>0</v>
      </c>
      <c r="F4" s="1" t="s">
        <v>125</v>
      </c>
    </row>
    <row r="5" customFormat="false" ht="15" hidden="false" customHeight="true" outlineLevel="0" collapsed="false">
      <c r="A5" s="1" t="s">
        <v>126</v>
      </c>
      <c r="B5" s="1" t="s">
        <v>127</v>
      </c>
      <c r="C5" s="53" t="s">
        <v>108</v>
      </c>
      <c r="D5" s="54" t="b">
        <f aca="false">TRUE()</f>
        <v>1</v>
      </c>
      <c r="E5" s="54" t="b">
        <f aca="false">FALSE()</f>
        <v>0</v>
      </c>
      <c r="F5" s="1" t="s">
        <v>128</v>
      </c>
    </row>
    <row r="6" customFormat="false" ht="15" hidden="false" customHeight="true" outlineLevel="0" collapsed="false">
      <c r="A6" s="1" t="s">
        <v>129</v>
      </c>
      <c r="B6" s="1" t="s">
        <v>130</v>
      </c>
      <c r="C6" s="53" t="s">
        <v>108</v>
      </c>
      <c r="D6" s="54" t="b">
        <f aca="false">TRUE()</f>
        <v>1</v>
      </c>
      <c r="E6" s="54" t="b">
        <f aca="false">FALSE()</f>
        <v>0</v>
      </c>
      <c r="F6" s="1" t="s">
        <v>131</v>
      </c>
    </row>
    <row r="7" customFormat="false" ht="15" hidden="false" customHeight="true" outlineLevel="0" collapsed="false">
      <c r="A7" s="1" t="s">
        <v>132</v>
      </c>
      <c r="B7" s="1" t="s">
        <v>133</v>
      </c>
      <c r="C7" s="53" t="s">
        <v>108</v>
      </c>
      <c r="D7" s="54" t="b">
        <f aca="false">TRUE()</f>
        <v>1</v>
      </c>
      <c r="E7" s="54" t="b">
        <f aca="false">FALSE()</f>
        <v>0</v>
      </c>
      <c r="F7" s="1" t="s">
        <v>134</v>
      </c>
    </row>
    <row r="8" customFormat="false" ht="15" hidden="false" customHeight="true" outlineLevel="0" collapsed="false">
      <c r="A8" s="1" t="s">
        <v>109</v>
      </c>
      <c r="B8" s="1" t="s">
        <v>135</v>
      </c>
      <c r="C8" s="53" t="s">
        <v>108</v>
      </c>
      <c r="D8" s="54" t="b">
        <f aca="false">TRUE()</f>
        <v>1</v>
      </c>
      <c r="E8" s="54" t="b">
        <f aca="false">FALSE()</f>
        <v>0</v>
      </c>
      <c r="F8" s="1" t="s">
        <v>136</v>
      </c>
    </row>
    <row r="9" customFormat="false" ht="15" hidden="false" customHeight="true" outlineLevel="0" collapsed="false">
      <c r="A9" s="1" t="s">
        <v>137</v>
      </c>
      <c r="B9" s="1" t="s">
        <v>138</v>
      </c>
      <c r="C9" s="53" t="s">
        <v>108</v>
      </c>
      <c r="D9" s="54" t="b">
        <f aca="false">TRUE()</f>
        <v>1</v>
      </c>
      <c r="E9" s="54" t="b">
        <f aca="false">FALSE()</f>
        <v>0</v>
      </c>
      <c r="F9" s="1" t="s">
        <v>139</v>
      </c>
    </row>
    <row r="10" customFormat="false" ht="15" hidden="false" customHeight="true" outlineLevel="0" collapsed="false">
      <c r="A10" s="1" t="s">
        <v>140</v>
      </c>
      <c r="B10" s="1" t="s">
        <v>141</v>
      </c>
      <c r="C10" s="53" t="s">
        <v>108</v>
      </c>
      <c r="D10" s="54" t="b">
        <f aca="false">TRUE()</f>
        <v>1</v>
      </c>
      <c r="E10" s="54" t="b">
        <f aca="false">FALSE()</f>
        <v>0</v>
      </c>
      <c r="F10" s="1" t="s">
        <v>142</v>
      </c>
    </row>
    <row r="11" customFormat="false" ht="15" hidden="false" customHeight="true" outlineLevel="0" collapsed="false">
      <c r="A11" s="1" t="s">
        <v>143</v>
      </c>
      <c r="B11" s="1" t="s">
        <v>144</v>
      </c>
      <c r="C11" s="53" t="s">
        <v>108</v>
      </c>
      <c r="D11" s="54" t="b">
        <f aca="false">TRUE()</f>
        <v>1</v>
      </c>
      <c r="E11" s="54" t="b">
        <f aca="false">FALSE()</f>
        <v>0</v>
      </c>
      <c r="F11" s="1" t="s">
        <v>145</v>
      </c>
    </row>
    <row r="12" customFormat="false" ht="15" hidden="false" customHeight="true" outlineLevel="0" collapsed="false">
      <c r="A12" s="1" t="s">
        <v>146</v>
      </c>
      <c r="B12" s="1" t="s">
        <v>147</v>
      </c>
      <c r="C12" s="53" t="s">
        <v>108</v>
      </c>
      <c r="D12" s="54" t="b">
        <f aca="false">TRUE()</f>
        <v>1</v>
      </c>
      <c r="E12" s="54" t="b">
        <f aca="false">FALSE()</f>
        <v>0</v>
      </c>
      <c r="F12" s="1" t="s">
        <v>148</v>
      </c>
    </row>
    <row r="13" customFormat="false" ht="15" hidden="false" customHeight="true" outlineLevel="0" collapsed="false">
      <c r="A13" s="1" t="s">
        <v>149</v>
      </c>
      <c r="B13" s="1" t="s">
        <v>150</v>
      </c>
      <c r="C13" s="53" t="s">
        <v>108</v>
      </c>
      <c r="D13" s="54" t="b">
        <f aca="false">TRUE()</f>
        <v>1</v>
      </c>
      <c r="E13" s="54" t="b">
        <f aca="false">FALSE()</f>
        <v>0</v>
      </c>
      <c r="F13" s="1" t="s">
        <v>151</v>
      </c>
    </row>
  </sheetData>
  <sheetProtection sheet="true" password="ecaf"/>
  <dataValidations count="3">
    <dataValidation allowBlank="false" errorStyle="stop" operator="between" showDropDown="false" showErrorMessage="false" showInputMessage="false" sqref="C2:C13" type="list">
      <formula1>rngCategoryDirection</formula1>
      <formula2>0</formula2>
    </dataValidation>
    <dataValidation allowBlank="false" errorStyle="stop" operator="between" showDropDown="false" showErrorMessage="false" showInputMessage="false" sqref="D2:D13" type="list">
      <formula1>rngBooleanChoice</formula1>
      <formula2>0</formula2>
    </dataValidation>
    <dataValidation allowBlank="false" errorStyle="stop" operator="between" showDropDown="false" showErrorMessage="false" showInputMessage="false" sqref="E2:E13" type="list">
      <formula1>rngBooleanChoice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20"/>
  </cols>
  <sheetData>
    <row r="1" customFormat="false" ht="15" hidden="false" customHeight="true" outlineLevel="0" collapsed="false">
      <c r="A1" s="51" t="s">
        <v>57</v>
      </c>
      <c r="B1" s="51" t="s">
        <v>152</v>
      </c>
      <c r="C1" s="51" t="s">
        <v>153</v>
      </c>
      <c r="D1" s="51" t="s">
        <v>154</v>
      </c>
      <c r="E1" s="51" t="s">
        <v>155</v>
      </c>
      <c r="F1" s="51" t="s">
        <v>78</v>
      </c>
      <c r="G1" s="51" t="s">
        <v>115</v>
      </c>
    </row>
    <row r="2" customFormat="false" ht="15" hidden="false" customHeight="true" outlineLevel="0" collapsed="false">
      <c r="A2" s="1" t="s">
        <v>111</v>
      </c>
      <c r="B2" s="1" t="s">
        <v>156</v>
      </c>
      <c r="C2" s="1" t="s">
        <v>157</v>
      </c>
      <c r="D2" s="1" t="s">
        <v>158</v>
      </c>
      <c r="E2" s="1" t="s">
        <v>109</v>
      </c>
      <c r="G2" s="54" t="b">
        <f aca="false">FALSE()</f>
        <v>0</v>
      </c>
    </row>
  </sheetData>
  <sheetProtection sheet="true" password="ecaf"/>
  <dataValidations count="1">
    <dataValidation allowBlank="false" errorStyle="stop" operator="between" showDropDown="false" showErrorMessage="false" showInputMessage="false" sqref="G2:G3" type="list">
      <formula1>rngBooleanChoice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0"/>
  </cols>
  <sheetData>
    <row r="1" customFormat="false" ht="15" hidden="false" customHeight="true" outlineLevel="0" collapsed="false">
      <c r="A1" s="51" t="s">
        <v>74</v>
      </c>
      <c r="B1" s="51" t="s">
        <v>57</v>
      </c>
      <c r="C1" s="51" t="s">
        <v>46</v>
      </c>
      <c r="D1" s="51" t="s">
        <v>75</v>
      </c>
      <c r="E1" s="51" t="s">
        <v>60</v>
      </c>
      <c r="F1" s="51" t="s">
        <v>76</v>
      </c>
      <c r="G1" s="51" t="s">
        <v>69</v>
      </c>
      <c r="H1" s="51" t="s">
        <v>77</v>
      </c>
      <c r="I1" s="51" t="s">
        <v>78</v>
      </c>
    </row>
    <row r="2" customFormat="false" ht="15" hidden="false" customHeight="true" outlineLevel="0" collapsed="false">
      <c r="A2" s="1" t="s">
        <v>159</v>
      </c>
      <c r="B2" s="1" t="s">
        <v>111</v>
      </c>
      <c r="C2" s="1" t="n">
        <v>89</v>
      </c>
      <c r="D2" s="52" t="n">
        <v>46223</v>
      </c>
      <c r="E2" s="54" t="b">
        <f aca="false">TRUE()</f>
        <v>1</v>
      </c>
      <c r="F2" s="53" t="s">
        <v>160</v>
      </c>
      <c r="G2" s="53" t="s">
        <v>161</v>
      </c>
      <c r="I2" s="1" t="s">
        <v>162</v>
      </c>
    </row>
    <row r="3" customFormat="false" ht="15" hidden="false" customHeight="true" outlineLevel="0" collapsed="false">
      <c r="A3" s="1" t="s">
        <v>163</v>
      </c>
      <c r="B3" s="1" t="s">
        <v>111</v>
      </c>
      <c r="C3" s="1" t="n">
        <v>150</v>
      </c>
      <c r="D3" s="52" t="n">
        <v>46204</v>
      </c>
      <c r="E3" s="54" t="b">
        <f aca="false">FALSE()</f>
        <v>0</v>
      </c>
      <c r="F3" s="53" t="s">
        <v>164</v>
      </c>
      <c r="G3" s="53" t="s">
        <v>165</v>
      </c>
      <c r="I3" s="1" t="s">
        <v>166</v>
      </c>
    </row>
    <row r="4" customFormat="false" ht="15" hidden="false" customHeight="true" outlineLevel="0" collapsed="false">
      <c r="F4" s="53"/>
      <c r="G4" s="53"/>
    </row>
    <row r="5" customFormat="false" ht="15" hidden="false" customHeight="true" outlineLevel="0" collapsed="false">
      <c r="F5" s="53"/>
      <c r="G5" s="53"/>
    </row>
    <row r="6" customFormat="false" ht="15" hidden="false" customHeight="true" outlineLevel="0" collapsed="false">
      <c r="F6" s="53"/>
      <c r="G6" s="53"/>
    </row>
    <row r="7" customFormat="false" ht="15" hidden="false" customHeight="true" outlineLevel="0" collapsed="false">
      <c r="F7" s="53"/>
      <c r="G7" s="53"/>
    </row>
    <row r="8" customFormat="false" ht="15" hidden="false" customHeight="true" outlineLevel="0" collapsed="false">
      <c r="F8" s="53"/>
      <c r="G8" s="53"/>
    </row>
    <row r="9" customFormat="false" ht="15" hidden="false" customHeight="true" outlineLevel="0" collapsed="false">
      <c r="F9" s="53"/>
      <c r="G9" s="53"/>
    </row>
    <row r="10" customFormat="false" ht="15" hidden="false" customHeight="true" outlineLevel="0" collapsed="false">
      <c r="F10" s="53"/>
      <c r="G10" s="53"/>
    </row>
    <row r="11" customFormat="false" ht="15" hidden="false" customHeight="true" outlineLevel="0" collapsed="false">
      <c r="F11" s="53"/>
      <c r="G11" s="53"/>
    </row>
    <row r="12" customFormat="false" ht="15" hidden="false" customHeight="true" outlineLevel="0" collapsed="false">
      <c r="F12" s="53"/>
      <c r="G12" s="53"/>
    </row>
    <row r="13" customFormat="false" ht="15" hidden="false" customHeight="true" outlineLevel="0" collapsed="false">
      <c r="F13" s="53"/>
      <c r="G13" s="53"/>
    </row>
    <row r="14" customFormat="false" ht="15" hidden="false" customHeight="true" outlineLevel="0" collapsed="false">
      <c r="F14" s="53"/>
      <c r="G14" s="53"/>
    </row>
    <row r="15" customFormat="false" ht="15" hidden="false" customHeight="true" outlineLevel="0" collapsed="false">
      <c r="F15" s="53"/>
      <c r="G15" s="53"/>
    </row>
    <row r="16" customFormat="false" ht="15" hidden="false" customHeight="true" outlineLevel="0" collapsed="false">
      <c r="F16" s="53"/>
      <c r="G16" s="53"/>
    </row>
    <row r="17" customFormat="false" ht="15" hidden="false" customHeight="true" outlineLevel="0" collapsed="false">
      <c r="F17" s="53"/>
      <c r="G17" s="53"/>
    </row>
    <row r="18" customFormat="false" ht="15" hidden="false" customHeight="true" outlineLevel="0" collapsed="false">
      <c r="F18" s="53"/>
      <c r="G18" s="53"/>
    </row>
    <row r="19" customFormat="false" ht="15" hidden="false" customHeight="true" outlineLevel="0" collapsed="false">
      <c r="F19" s="53"/>
      <c r="G19" s="53"/>
    </row>
    <row r="20" customFormat="false" ht="15" hidden="false" customHeight="true" outlineLevel="0" collapsed="false">
      <c r="F20" s="53"/>
      <c r="G20" s="53"/>
    </row>
    <row r="21" customFormat="false" ht="15" hidden="false" customHeight="true" outlineLevel="0" collapsed="false">
      <c r="F21" s="53"/>
      <c r="G21" s="53"/>
    </row>
    <row r="22" customFormat="false" ht="15" hidden="false" customHeight="true" outlineLevel="0" collapsed="false">
      <c r="F22" s="53"/>
      <c r="G22" s="53"/>
    </row>
    <row r="23" customFormat="false" ht="15" hidden="false" customHeight="true" outlineLevel="0" collapsed="false">
      <c r="F23" s="53"/>
      <c r="G23" s="53"/>
    </row>
    <row r="24" customFormat="false" ht="15" hidden="false" customHeight="true" outlineLevel="0" collapsed="false">
      <c r="F24" s="53"/>
      <c r="G24" s="53"/>
    </row>
    <row r="25" customFormat="false" ht="15" hidden="false" customHeight="true" outlineLevel="0" collapsed="false">
      <c r="F25" s="53"/>
      <c r="G25" s="53"/>
    </row>
    <row r="26" customFormat="false" ht="15" hidden="false" customHeight="true" outlineLevel="0" collapsed="false">
      <c r="F26" s="53"/>
      <c r="G26" s="53"/>
    </row>
    <row r="27" customFormat="false" ht="15" hidden="false" customHeight="true" outlineLevel="0" collapsed="false">
      <c r="F27" s="53"/>
      <c r="G27" s="53"/>
    </row>
    <row r="28" customFormat="false" ht="15" hidden="false" customHeight="true" outlineLevel="0" collapsed="false">
      <c r="F28" s="53"/>
      <c r="G28" s="53"/>
    </row>
    <row r="29" customFormat="false" ht="15" hidden="false" customHeight="true" outlineLevel="0" collapsed="false">
      <c r="F29" s="53"/>
      <c r="G29" s="53"/>
    </row>
    <row r="30" customFormat="false" ht="15" hidden="false" customHeight="true" outlineLevel="0" collapsed="false">
      <c r="F30" s="53"/>
      <c r="G30" s="53"/>
    </row>
    <row r="31" customFormat="false" ht="15" hidden="false" customHeight="true" outlineLevel="0" collapsed="false">
      <c r="F31" s="53"/>
      <c r="G31" s="53"/>
    </row>
    <row r="32" customFormat="false" ht="15" hidden="false" customHeight="true" outlineLevel="0" collapsed="false">
      <c r="F32" s="53"/>
      <c r="G32" s="53"/>
    </row>
    <row r="33" customFormat="false" ht="15" hidden="false" customHeight="true" outlineLevel="0" collapsed="false">
      <c r="F33" s="53"/>
      <c r="G33" s="53"/>
    </row>
    <row r="34" customFormat="false" ht="15" hidden="false" customHeight="true" outlineLevel="0" collapsed="false">
      <c r="F34" s="53"/>
      <c r="G34" s="53"/>
    </row>
    <row r="35" customFormat="false" ht="15" hidden="false" customHeight="true" outlineLevel="0" collapsed="false">
      <c r="F35" s="53"/>
      <c r="G35" s="53"/>
    </row>
    <row r="36" customFormat="false" ht="15" hidden="false" customHeight="true" outlineLevel="0" collapsed="false">
      <c r="F36" s="53"/>
      <c r="G36" s="53"/>
    </row>
    <row r="37" customFormat="false" ht="15" hidden="false" customHeight="true" outlineLevel="0" collapsed="false">
      <c r="F37" s="53"/>
      <c r="G37" s="53"/>
    </row>
    <row r="38" customFormat="false" ht="15" hidden="false" customHeight="true" outlineLevel="0" collapsed="false">
      <c r="F38" s="53"/>
      <c r="G38" s="53"/>
    </row>
    <row r="39" customFormat="false" ht="15" hidden="false" customHeight="true" outlineLevel="0" collapsed="false">
      <c r="F39" s="53"/>
      <c r="G39" s="53"/>
    </row>
    <row r="40" customFormat="false" ht="15" hidden="false" customHeight="true" outlineLevel="0" collapsed="false">
      <c r="F40" s="53"/>
      <c r="G40" s="53"/>
    </row>
    <row r="41" customFormat="false" ht="15" hidden="false" customHeight="true" outlineLevel="0" collapsed="false">
      <c r="F41" s="53"/>
      <c r="G41" s="53"/>
    </row>
    <row r="42" customFormat="false" ht="15" hidden="false" customHeight="true" outlineLevel="0" collapsed="false">
      <c r="F42" s="53"/>
      <c r="G42" s="53"/>
    </row>
    <row r="43" customFormat="false" ht="15" hidden="false" customHeight="true" outlineLevel="0" collapsed="false">
      <c r="F43" s="53"/>
      <c r="G43" s="53"/>
    </row>
    <row r="44" customFormat="false" ht="15" hidden="false" customHeight="true" outlineLevel="0" collapsed="false">
      <c r="F44" s="53"/>
      <c r="G44" s="53"/>
    </row>
    <row r="45" customFormat="false" ht="15" hidden="false" customHeight="true" outlineLevel="0" collapsed="false">
      <c r="F45" s="53"/>
      <c r="G45" s="53"/>
    </row>
    <row r="46" customFormat="false" ht="15" hidden="false" customHeight="true" outlineLevel="0" collapsed="false">
      <c r="F46" s="53"/>
      <c r="G46" s="53"/>
    </row>
    <row r="47" customFormat="false" ht="15" hidden="false" customHeight="true" outlineLevel="0" collapsed="false">
      <c r="F47" s="53"/>
      <c r="G47" s="53"/>
    </row>
    <row r="48" customFormat="false" ht="15" hidden="false" customHeight="true" outlineLevel="0" collapsed="false">
      <c r="F48" s="53"/>
      <c r="G48" s="53"/>
    </row>
    <row r="49" customFormat="false" ht="15" hidden="false" customHeight="true" outlineLevel="0" collapsed="false">
      <c r="F49" s="53"/>
      <c r="G49" s="53"/>
    </row>
    <row r="50" customFormat="false" ht="15" hidden="false" customHeight="true" outlineLevel="0" collapsed="false">
      <c r="F50" s="53"/>
      <c r="G50" s="53"/>
    </row>
  </sheetData>
  <sheetProtection sheet="true" password="ecaf"/>
  <dataValidations count="3">
    <dataValidation allowBlank="false" errorStyle="stop" operator="between" showDropDown="false" showErrorMessage="false" showInputMessage="false" sqref="G2:G50" type="list">
      <formula1>rngBillStatuses</formula1>
      <formula2>0</formula2>
    </dataValidation>
    <dataValidation allowBlank="false" errorStyle="stop" operator="between" showDropDown="false" showErrorMessage="false" showInputMessage="false" sqref="F2:F50" type="list">
      <formula1>rngRecurrenceFrequencies</formula1>
      <formula2>0</formula2>
    </dataValidation>
    <dataValidation allowBlank="false" errorStyle="stop" operator="between" showDropDown="false" showErrorMessage="false" showInputMessage="false" sqref="E2:E50" type="list">
      <formula1>rngBooleanChoice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0"/>
  </cols>
  <sheetData>
    <row r="1" customFormat="false" ht="15" hidden="false" customHeight="true" outlineLevel="0" collapsed="false">
      <c r="A1" s="51" t="s">
        <v>56</v>
      </c>
      <c r="B1" s="51" t="s">
        <v>167</v>
      </c>
      <c r="C1" s="51" t="s">
        <v>153</v>
      </c>
      <c r="D1" s="51" t="s">
        <v>154</v>
      </c>
      <c r="E1" s="51" t="s">
        <v>78</v>
      </c>
      <c r="F1" s="51" t="s">
        <v>115</v>
      </c>
    </row>
    <row r="2" customFormat="false" ht="15" hidden="false" customHeight="true" outlineLevel="0" collapsed="false">
      <c r="A2" s="1" t="s">
        <v>168</v>
      </c>
      <c r="B2" s="1" t="s">
        <v>169</v>
      </c>
      <c r="C2" s="1" t="s">
        <v>170</v>
      </c>
      <c r="F2" s="54" t="b">
        <f aca="false">FALSE()</f>
        <v>0</v>
      </c>
    </row>
  </sheetData>
  <sheetProtection sheet="true" password="ecaf"/>
  <dataValidations count="1">
    <dataValidation allowBlank="false" errorStyle="stop" operator="between" showDropDown="false" showErrorMessage="false" showInputMessage="false" sqref="F2:F50" type="list">
      <formula1>rngBooleanChoice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0"/>
  </cols>
  <sheetData>
    <row r="1" customFormat="false" ht="15" hidden="false" customHeight="true" outlineLevel="0" collapsed="false">
      <c r="A1" s="51" t="s">
        <v>84</v>
      </c>
      <c r="B1" s="51" t="s">
        <v>56</v>
      </c>
      <c r="C1" s="51" t="s">
        <v>85</v>
      </c>
      <c r="D1" s="51" t="s">
        <v>75</v>
      </c>
      <c r="E1" s="51" t="s">
        <v>46</v>
      </c>
      <c r="F1" s="51" t="s">
        <v>69</v>
      </c>
      <c r="G1" s="51" t="s">
        <v>86</v>
      </c>
      <c r="H1" s="51" t="s">
        <v>77</v>
      </c>
      <c r="I1" s="51" t="s">
        <v>78</v>
      </c>
    </row>
    <row r="2" customFormat="false" ht="15" hidden="false" customHeight="true" outlineLevel="0" collapsed="false">
      <c r="A2" s="1" t="s">
        <v>171</v>
      </c>
      <c r="B2" s="1" t="s">
        <v>168</v>
      </c>
      <c r="C2" s="52" t="n">
        <v>46188</v>
      </c>
      <c r="D2" s="52" t="n">
        <v>46202</v>
      </c>
      <c r="E2" s="1" t="n">
        <v>1200</v>
      </c>
      <c r="F2" s="53" t="s">
        <v>165</v>
      </c>
      <c r="I2" s="1" t="s">
        <v>172</v>
      </c>
    </row>
    <row r="3" customFormat="false" ht="15" hidden="false" customHeight="true" outlineLevel="0" collapsed="false">
      <c r="A3" s="1" t="s">
        <v>173</v>
      </c>
      <c r="B3" s="1" t="s">
        <v>168</v>
      </c>
      <c r="C3" s="52" t="n">
        <v>46213</v>
      </c>
      <c r="D3" s="52" t="n">
        <v>46227</v>
      </c>
      <c r="E3" s="1" t="n">
        <v>500</v>
      </c>
      <c r="F3" s="53" t="s">
        <v>174</v>
      </c>
      <c r="I3" s="1" t="s">
        <v>175</v>
      </c>
    </row>
    <row r="4" customFormat="false" ht="15" hidden="false" customHeight="true" outlineLevel="0" collapsed="false">
      <c r="F4" s="53"/>
    </row>
    <row r="5" customFormat="false" ht="15" hidden="false" customHeight="true" outlineLevel="0" collapsed="false">
      <c r="F5" s="53"/>
    </row>
    <row r="6" customFormat="false" ht="15" hidden="false" customHeight="true" outlineLevel="0" collapsed="false">
      <c r="F6" s="53"/>
    </row>
    <row r="7" customFormat="false" ht="15" hidden="false" customHeight="true" outlineLevel="0" collapsed="false">
      <c r="F7" s="53"/>
    </row>
    <row r="8" customFormat="false" ht="15" hidden="false" customHeight="true" outlineLevel="0" collapsed="false">
      <c r="F8" s="53"/>
    </row>
    <row r="9" customFormat="false" ht="15" hidden="false" customHeight="true" outlineLevel="0" collapsed="false">
      <c r="F9" s="53"/>
    </row>
    <row r="10" customFormat="false" ht="15" hidden="false" customHeight="true" outlineLevel="0" collapsed="false">
      <c r="F10" s="53"/>
    </row>
    <row r="11" customFormat="false" ht="15" hidden="false" customHeight="true" outlineLevel="0" collapsed="false">
      <c r="F11" s="53"/>
    </row>
    <row r="12" customFormat="false" ht="15" hidden="false" customHeight="true" outlineLevel="0" collapsed="false">
      <c r="F12" s="53"/>
    </row>
    <row r="13" customFormat="false" ht="15" hidden="false" customHeight="true" outlineLevel="0" collapsed="false">
      <c r="F13" s="53"/>
    </row>
    <row r="14" customFormat="false" ht="15" hidden="false" customHeight="true" outlineLevel="0" collapsed="false">
      <c r="F14" s="53"/>
    </row>
    <row r="15" customFormat="false" ht="15" hidden="false" customHeight="true" outlineLevel="0" collapsed="false">
      <c r="F15" s="53"/>
    </row>
    <row r="16" customFormat="false" ht="15" hidden="false" customHeight="true" outlineLevel="0" collapsed="false">
      <c r="F16" s="53"/>
    </row>
    <row r="17" customFormat="false" ht="15" hidden="false" customHeight="true" outlineLevel="0" collapsed="false">
      <c r="F17" s="53"/>
    </row>
    <row r="18" customFormat="false" ht="15" hidden="false" customHeight="true" outlineLevel="0" collapsed="false">
      <c r="F18" s="53"/>
    </row>
    <row r="19" customFormat="false" ht="15" hidden="false" customHeight="true" outlineLevel="0" collapsed="false">
      <c r="F19" s="53"/>
    </row>
    <row r="20" customFormat="false" ht="15" hidden="false" customHeight="true" outlineLevel="0" collapsed="false">
      <c r="F20" s="53"/>
    </row>
    <row r="21" customFormat="false" ht="15" hidden="false" customHeight="true" outlineLevel="0" collapsed="false">
      <c r="F21" s="53"/>
    </row>
    <row r="22" customFormat="false" ht="15" hidden="false" customHeight="true" outlineLevel="0" collapsed="false">
      <c r="F22" s="53"/>
    </row>
    <row r="23" customFormat="false" ht="15" hidden="false" customHeight="true" outlineLevel="0" collapsed="false">
      <c r="F23" s="53"/>
    </row>
    <row r="24" customFormat="false" ht="15" hidden="false" customHeight="true" outlineLevel="0" collapsed="false">
      <c r="F24" s="53"/>
    </row>
    <row r="25" customFormat="false" ht="15" hidden="false" customHeight="true" outlineLevel="0" collapsed="false">
      <c r="F25" s="53"/>
    </row>
    <row r="26" customFormat="false" ht="15" hidden="false" customHeight="true" outlineLevel="0" collapsed="false">
      <c r="F26" s="53"/>
    </row>
    <row r="27" customFormat="false" ht="15" hidden="false" customHeight="true" outlineLevel="0" collapsed="false">
      <c r="F27" s="53"/>
    </row>
    <row r="28" customFormat="false" ht="15" hidden="false" customHeight="true" outlineLevel="0" collapsed="false">
      <c r="F28" s="53"/>
    </row>
    <row r="29" customFormat="false" ht="15" hidden="false" customHeight="true" outlineLevel="0" collapsed="false">
      <c r="F29" s="53"/>
    </row>
    <row r="30" customFormat="false" ht="15" hidden="false" customHeight="true" outlineLevel="0" collapsed="false">
      <c r="F30" s="53"/>
    </row>
    <row r="31" customFormat="false" ht="15" hidden="false" customHeight="true" outlineLevel="0" collapsed="false">
      <c r="F31" s="53"/>
    </row>
    <row r="32" customFormat="false" ht="15" hidden="false" customHeight="true" outlineLevel="0" collapsed="false">
      <c r="F32" s="53"/>
    </row>
    <row r="33" customFormat="false" ht="15" hidden="false" customHeight="true" outlineLevel="0" collapsed="false">
      <c r="F33" s="53"/>
    </row>
    <row r="34" customFormat="false" ht="15" hidden="false" customHeight="true" outlineLevel="0" collapsed="false">
      <c r="F34" s="53"/>
    </row>
    <row r="35" customFormat="false" ht="15" hidden="false" customHeight="true" outlineLevel="0" collapsed="false">
      <c r="F35" s="53"/>
    </row>
    <row r="36" customFormat="false" ht="15" hidden="false" customHeight="true" outlineLevel="0" collapsed="false">
      <c r="F36" s="53"/>
    </row>
    <row r="37" customFormat="false" ht="15" hidden="false" customHeight="true" outlineLevel="0" collapsed="false">
      <c r="F37" s="53"/>
    </row>
    <row r="38" customFormat="false" ht="15" hidden="false" customHeight="true" outlineLevel="0" collapsed="false">
      <c r="F38" s="53"/>
    </row>
    <row r="39" customFormat="false" ht="15" hidden="false" customHeight="true" outlineLevel="0" collapsed="false">
      <c r="F39" s="53"/>
    </row>
    <row r="40" customFormat="false" ht="15" hidden="false" customHeight="true" outlineLevel="0" collapsed="false">
      <c r="F40" s="53"/>
    </row>
    <row r="41" customFormat="false" ht="15" hidden="false" customHeight="true" outlineLevel="0" collapsed="false">
      <c r="F41" s="53"/>
    </row>
    <row r="42" customFormat="false" ht="15" hidden="false" customHeight="true" outlineLevel="0" collapsed="false">
      <c r="F42" s="53"/>
    </row>
    <row r="43" customFormat="false" ht="15" hidden="false" customHeight="true" outlineLevel="0" collapsed="false">
      <c r="F43" s="53"/>
    </row>
    <row r="44" customFormat="false" ht="15" hidden="false" customHeight="true" outlineLevel="0" collapsed="false">
      <c r="F44" s="53"/>
    </row>
    <row r="45" customFormat="false" ht="15" hidden="false" customHeight="true" outlineLevel="0" collapsed="false">
      <c r="F45" s="53"/>
    </row>
    <row r="46" customFormat="false" ht="15" hidden="false" customHeight="true" outlineLevel="0" collapsed="false">
      <c r="F46" s="53"/>
    </row>
    <row r="47" customFormat="false" ht="15" hidden="false" customHeight="true" outlineLevel="0" collapsed="false">
      <c r="F47" s="53"/>
    </row>
    <row r="48" customFormat="false" ht="15" hidden="false" customHeight="true" outlineLevel="0" collapsed="false">
      <c r="F48" s="53"/>
    </row>
    <row r="49" customFormat="false" ht="15" hidden="false" customHeight="true" outlineLevel="0" collapsed="false">
      <c r="F49" s="53"/>
    </row>
    <row r="50" customFormat="false" ht="15" hidden="false" customHeight="true" outlineLevel="0" collapsed="false">
      <c r="F50" s="53"/>
    </row>
  </sheetData>
  <sheetProtection sheet="true" password="ecaf"/>
  <dataValidations count="1">
    <dataValidation allowBlank="false" errorStyle="stop" operator="between" showDropDown="false" showErrorMessage="false" showInputMessage="false" sqref="F2:F50" type="list">
      <formula1>rngInvoiceStatuses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0"/>
  </cols>
  <sheetData>
    <row r="1" customFormat="false" ht="15" hidden="false" customHeight="true" outlineLevel="0" collapsed="false">
      <c r="A1" s="51" t="s">
        <v>97</v>
      </c>
      <c r="B1" s="51" t="s">
        <v>98</v>
      </c>
      <c r="C1" s="51" t="s">
        <v>99</v>
      </c>
      <c r="D1" s="51" t="s">
        <v>100</v>
      </c>
      <c r="E1" s="51" t="s">
        <v>101</v>
      </c>
      <c r="F1" s="51" t="s">
        <v>102</v>
      </c>
      <c r="G1" s="51" t="s">
        <v>103</v>
      </c>
      <c r="H1" s="51" t="s">
        <v>69</v>
      </c>
      <c r="I1" s="51" t="s">
        <v>104</v>
      </c>
    </row>
    <row r="2" customFormat="false" ht="15" hidden="false" customHeight="true" outlineLevel="0" collapsed="false">
      <c r="A2" s="1" t="s">
        <v>176</v>
      </c>
      <c r="B2" s="1" t="s">
        <v>177</v>
      </c>
      <c r="C2" s="53" t="s">
        <v>178</v>
      </c>
      <c r="D2" s="1" t="n">
        <v>9000</v>
      </c>
      <c r="E2" s="1" t="n">
        <v>5580</v>
      </c>
      <c r="F2" s="52" t="n">
        <v>46023</v>
      </c>
      <c r="G2" s="52" t="n">
        <v>46387</v>
      </c>
      <c r="H2" s="53" t="s">
        <v>105</v>
      </c>
      <c r="I2" s="1" t="s">
        <v>145</v>
      </c>
    </row>
    <row r="3" customFormat="false" ht="15" hidden="false" customHeight="true" outlineLevel="0" collapsed="false">
      <c r="C3" s="53"/>
      <c r="H3" s="53"/>
    </row>
    <row r="4" customFormat="false" ht="15" hidden="false" customHeight="true" outlineLevel="0" collapsed="false">
      <c r="C4" s="53"/>
      <c r="H4" s="53"/>
    </row>
    <row r="5" customFormat="false" ht="15" hidden="false" customHeight="true" outlineLevel="0" collapsed="false">
      <c r="C5" s="53"/>
      <c r="H5" s="53"/>
    </row>
    <row r="6" customFormat="false" ht="15" hidden="false" customHeight="true" outlineLevel="0" collapsed="false">
      <c r="C6" s="53"/>
      <c r="H6" s="53"/>
    </row>
    <row r="7" customFormat="false" ht="15" hidden="false" customHeight="true" outlineLevel="0" collapsed="false">
      <c r="C7" s="53"/>
      <c r="H7" s="53"/>
    </row>
    <row r="8" customFormat="false" ht="15" hidden="false" customHeight="true" outlineLevel="0" collapsed="false">
      <c r="C8" s="53"/>
      <c r="H8" s="53"/>
    </row>
    <row r="9" customFormat="false" ht="15" hidden="false" customHeight="true" outlineLevel="0" collapsed="false">
      <c r="C9" s="53"/>
      <c r="H9" s="53"/>
    </row>
    <row r="10" customFormat="false" ht="15" hidden="false" customHeight="true" outlineLevel="0" collapsed="false">
      <c r="C10" s="53"/>
      <c r="H10" s="53"/>
    </row>
    <row r="11" customFormat="false" ht="15" hidden="false" customHeight="true" outlineLevel="0" collapsed="false">
      <c r="C11" s="53"/>
      <c r="H11" s="53"/>
    </row>
    <row r="12" customFormat="false" ht="15" hidden="false" customHeight="true" outlineLevel="0" collapsed="false">
      <c r="C12" s="53"/>
      <c r="H12" s="53"/>
    </row>
    <row r="13" customFormat="false" ht="15" hidden="false" customHeight="true" outlineLevel="0" collapsed="false">
      <c r="C13" s="53"/>
      <c r="H13" s="53"/>
    </row>
    <row r="14" customFormat="false" ht="15" hidden="false" customHeight="true" outlineLevel="0" collapsed="false">
      <c r="C14" s="53"/>
      <c r="H14" s="53"/>
    </row>
    <row r="15" customFormat="false" ht="15" hidden="false" customHeight="true" outlineLevel="0" collapsed="false">
      <c r="C15" s="53"/>
      <c r="H15" s="53"/>
    </row>
    <row r="16" customFormat="false" ht="15" hidden="false" customHeight="true" outlineLevel="0" collapsed="false">
      <c r="C16" s="53"/>
      <c r="H16" s="53"/>
    </row>
    <row r="17" customFormat="false" ht="15" hidden="false" customHeight="true" outlineLevel="0" collapsed="false">
      <c r="C17" s="53"/>
      <c r="H17" s="53"/>
    </row>
    <row r="18" customFormat="false" ht="15" hidden="false" customHeight="true" outlineLevel="0" collapsed="false">
      <c r="C18" s="53"/>
      <c r="H18" s="53"/>
    </row>
    <row r="19" customFormat="false" ht="15" hidden="false" customHeight="true" outlineLevel="0" collapsed="false">
      <c r="C19" s="53"/>
      <c r="H19" s="53"/>
    </row>
    <row r="20" customFormat="false" ht="15" hidden="false" customHeight="true" outlineLevel="0" collapsed="false">
      <c r="C20" s="53"/>
      <c r="H20" s="53"/>
    </row>
    <row r="21" customFormat="false" ht="15" hidden="false" customHeight="true" outlineLevel="0" collapsed="false">
      <c r="C21" s="53"/>
      <c r="H21" s="53"/>
    </row>
    <row r="22" customFormat="false" ht="15" hidden="false" customHeight="true" outlineLevel="0" collapsed="false">
      <c r="C22" s="53"/>
      <c r="H22" s="53"/>
    </row>
    <row r="23" customFormat="false" ht="15" hidden="false" customHeight="true" outlineLevel="0" collapsed="false">
      <c r="C23" s="53"/>
      <c r="H23" s="53"/>
    </row>
    <row r="24" customFormat="false" ht="15" hidden="false" customHeight="true" outlineLevel="0" collapsed="false">
      <c r="C24" s="53"/>
      <c r="H24" s="53"/>
    </row>
    <row r="25" customFormat="false" ht="15" hidden="false" customHeight="true" outlineLevel="0" collapsed="false">
      <c r="C25" s="53"/>
      <c r="H25" s="53"/>
    </row>
    <row r="26" customFormat="false" ht="15" hidden="false" customHeight="true" outlineLevel="0" collapsed="false">
      <c r="C26" s="53"/>
      <c r="H26" s="53"/>
    </row>
    <row r="27" customFormat="false" ht="15" hidden="false" customHeight="true" outlineLevel="0" collapsed="false">
      <c r="C27" s="53"/>
      <c r="H27" s="53"/>
    </row>
    <row r="28" customFormat="false" ht="15" hidden="false" customHeight="true" outlineLevel="0" collapsed="false">
      <c r="C28" s="53"/>
      <c r="H28" s="53"/>
    </row>
    <row r="29" customFormat="false" ht="15" hidden="false" customHeight="true" outlineLevel="0" collapsed="false">
      <c r="C29" s="53"/>
      <c r="H29" s="53"/>
    </row>
    <row r="30" customFormat="false" ht="15" hidden="false" customHeight="true" outlineLevel="0" collapsed="false">
      <c r="C30" s="53"/>
      <c r="H30" s="53"/>
    </row>
    <row r="31" customFormat="false" ht="15" hidden="false" customHeight="true" outlineLevel="0" collapsed="false">
      <c r="C31" s="53"/>
      <c r="H31" s="53"/>
    </row>
    <row r="32" customFormat="false" ht="15" hidden="false" customHeight="true" outlineLevel="0" collapsed="false">
      <c r="C32" s="53"/>
      <c r="H32" s="53"/>
    </row>
    <row r="33" customFormat="false" ht="15" hidden="false" customHeight="true" outlineLevel="0" collapsed="false">
      <c r="C33" s="53"/>
      <c r="H33" s="53"/>
    </row>
    <row r="34" customFormat="false" ht="15" hidden="false" customHeight="true" outlineLevel="0" collapsed="false">
      <c r="C34" s="53"/>
      <c r="H34" s="53"/>
    </row>
    <row r="35" customFormat="false" ht="15" hidden="false" customHeight="true" outlineLevel="0" collapsed="false">
      <c r="C35" s="53"/>
      <c r="H35" s="53"/>
    </row>
    <row r="36" customFormat="false" ht="15" hidden="false" customHeight="true" outlineLevel="0" collapsed="false">
      <c r="C36" s="53"/>
      <c r="H36" s="53"/>
    </row>
    <row r="37" customFormat="false" ht="15" hidden="false" customHeight="true" outlineLevel="0" collapsed="false">
      <c r="C37" s="53"/>
      <c r="H37" s="53"/>
    </row>
    <row r="38" customFormat="false" ht="15" hidden="false" customHeight="true" outlineLevel="0" collapsed="false">
      <c r="C38" s="53"/>
      <c r="H38" s="53"/>
    </row>
    <row r="39" customFormat="false" ht="15" hidden="false" customHeight="true" outlineLevel="0" collapsed="false">
      <c r="C39" s="53"/>
      <c r="H39" s="53"/>
    </row>
    <row r="40" customFormat="false" ht="15" hidden="false" customHeight="true" outlineLevel="0" collapsed="false">
      <c r="C40" s="53"/>
      <c r="H40" s="53"/>
    </row>
    <row r="41" customFormat="false" ht="15" hidden="false" customHeight="true" outlineLevel="0" collapsed="false">
      <c r="C41" s="53"/>
      <c r="H41" s="53"/>
    </row>
    <row r="42" customFormat="false" ht="15" hidden="false" customHeight="true" outlineLevel="0" collapsed="false">
      <c r="C42" s="53"/>
      <c r="H42" s="53"/>
    </row>
    <row r="43" customFormat="false" ht="15" hidden="false" customHeight="true" outlineLevel="0" collapsed="false">
      <c r="C43" s="53"/>
      <c r="H43" s="53"/>
    </row>
    <row r="44" customFormat="false" ht="15" hidden="false" customHeight="true" outlineLevel="0" collapsed="false">
      <c r="C44" s="53"/>
      <c r="H44" s="53"/>
    </row>
    <row r="45" customFormat="false" ht="15" hidden="false" customHeight="true" outlineLevel="0" collapsed="false">
      <c r="C45" s="53"/>
      <c r="H45" s="53"/>
    </row>
    <row r="46" customFormat="false" ht="15" hidden="false" customHeight="true" outlineLevel="0" collapsed="false">
      <c r="C46" s="53"/>
      <c r="H46" s="53"/>
    </row>
    <row r="47" customFormat="false" ht="15" hidden="false" customHeight="true" outlineLevel="0" collapsed="false">
      <c r="C47" s="53"/>
      <c r="H47" s="53"/>
    </row>
    <row r="48" customFormat="false" ht="15" hidden="false" customHeight="true" outlineLevel="0" collapsed="false">
      <c r="C48" s="53"/>
      <c r="H48" s="53"/>
    </row>
    <row r="49" customFormat="false" ht="15" hidden="false" customHeight="true" outlineLevel="0" collapsed="false">
      <c r="C49" s="53"/>
      <c r="H49" s="53"/>
    </row>
    <row r="50" customFormat="false" ht="15" hidden="false" customHeight="true" outlineLevel="0" collapsed="false">
      <c r="C50" s="53"/>
      <c r="H50" s="53"/>
    </row>
  </sheetData>
  <sheetProtection sheet="true" password="ecaf"/>
  <dataValidations count="2">
    <dataValidation allowBlank="false" errorStyle="stop" operator="between" showDropDown="false" showErrorMessage="false" showInputMessage="false" sqref="C2:C50" type="list">
      <formula1>rngGoalTypes</formula1>
      <formula2>0</formula2>
    </dataValidation>
    <dataValidation allowBlank="false" errorStyle="stop" operator="between" showDropDown="false" showErrorMessage="false" showInputMessage="false" sqref="H2:H50" type="list">
      <formula1>rngGoalStatuses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0"/>
  </cols>
  <sheetData>
    <row r="1" customFormat="false" ht="15" hidden="false" customHeight="true" outlineLevel="0" collapsed="false">
      <c r="A1" s="51" t="s">
        <v>179</v>
      </c>
      <c r="B1" s="51" t="s">
        <v>180</v>
      </c>
      <c r="C1" s="51" t="s">
        <v>181</v>
      </c>
      <c r="D1" s="51" t="s">
        <v>18</v>
      </c>
      <c r="E1" s="51" t="s">
        <v>182</v>
      </c>
      <c r="F1" s="51" t="s">
        <v>183</v>
      </c>
      <c r="G1" s="51" t="s">
        <v>184</v>
      </c>
      <c r="H1" s="51" t="s">
        <v>185</v>
      </c>
      <c r="I1" s="51" t="s">
        <v>186</v>
      </c>
    </row>
    <row r="2" customFormat="false" ht="15" hidden="false" customHeight="true" outlineLevel="0" collapsed="false">
      <c r="A2" s="1" t="str">
        <f aca="false">Settings!F7</f>
        <v>Riverside Design Studio</v>
      </c>
      <c r="B2" s="1" t="str">
        <f aca="false">Settings!F9</f>
        <v>Freelance</v>
      </c>
      <c r="C2" s="1" t="str">
        <f aca="false">Settings!F11</f>
        <v>January</v>
      </c>
      <c r="D2" s="1" t="str">
        <f aca="false">Settings!F10</f>
        <v>USD</v>
      </c>
      <c r="E2" s="1" t="n">
        <v>2500</v>
      </c>
      <c r="F2" s="52" t="n">
        <v>46025</v>
      </c>
      <c r="G2" s="1" t="str">
        <f aca="false">Settings!F18</f>
        <v>No logo uploaded</v>
      </c>
      <c r="H2" s="1" t="n">
        <f aca="false">Settings!F8</f>
        <v>0</v>
      </c>
      <c r="I2" s="1" t="str">
        <f aca="false">Settings!F12</f>
        <v>America/New_York</v>
      </c>
    </row>
  </sheetData>
  <sheetProtection sheet="true" password="ecaf"/>
  <dataValidations count="3">
    <dataValidation allowBlank="false" errorStyle="stop" operator="between" showDropDown="false" showErrorMessage="false" showInputMessage="false" sqref="B2" type="list">
      <formula1>rngindustries</formula1>
      <formula2>0</formula2>
    </dataValidation>
    <dataValidation allowBlank="false" errorStyle="stop" operator="between" showDropDown="false" showErrorMessage="false" showInputMessage="false" sqref="C2" type="list">
      <formula1>rngMonths</formula1>
      <formula2>0</formula2>
    </dataValidation>
    <dataValidation allowBlank="false" errorStyle="stop" operator="between" showDropDown="false" showErrorMessage="false" showInputMessage="false" sqref="D2" type="list">
      <formula1>rngCurrencies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20"/>
  </cols>
  <sheetData>
    <row r="1" customFormat="false" ht="15" hidden="false" customHeight="true" outlineLevel="0" collapsed="false">
      <c r="A1" s="51" t="s">
        <v>187</v>
      </c>
      <c r="B1" s="51" t="s">
        <v>188</v>
      </c>
      <c r="C1" s="51" t="s">
        <v>189</v>
      </c>
      <c r="D1" s="51" t="s">
        <v>190</v>
      </c>
      <c r="E1" s="51" t="s">
        <v>191</v>
      </c>
      <c r="F1" s="51" t="s">
        <v>192</v>
      </c>
      <c r="G1" s="51" t="s">
        <v>193</v>
      </c>
      <c r="H1" s="51" t="s">
        <v>194</v>
      </c>
      <c r="I1" s="51" t="s">
        <v>25</v>
      </c>
      <c r="J1" s="51" t="s">
        <v>195</v>
      </c>
      <c r="K1" s="51" t="s">
        <v>196</v>
      </c>
      <c r="L1" s="51" t="s">
        <v>42</v>
      </c>
    </row>
    <row r="2" customFormat="false" ht="15" hidden="false" customHeight="true" outlineLevel="0" collapsed="false">
      <c r="A2" s="1" t="str">
        <f aca="false">Settings!F22</f>
        <v>MM/DD/YYYY</v>
      </c>
      <c r="B2" s="1" t="str">
        <f aca="false">Settings!F23</f>
        <v>Sunday</v>
      </c>
      <c r="C2" s="54" t="b">
        <f aca="false">TRUE()</f>
        <v>1</v>
      </c>
      <c r="D2" s="54" t="b">
        <f aca="false">TRUE()</f>
        <v>1</v>
      </c>
      <c r="E2" s="1" t="n">
        <v>14</v>
      </c>
      <c r="F2" s="52" t="n">
        <v>46216</v>
      </c>
      <c r="G2" s="1" t="s">
        <v>197</v>
      </c>
      <c r="H2" s="1" t="str">
        <f aca="false">Settings!F24</f>
        <v>US format</v>
      </c>
      <c r="I2" s="1" t="str">
        <f aca="false">Settings!F16</f>
        <v>Light</v>
      </c>
      <c r="J2" s="1" t="s">
        <v>198</v>
      </c>
      <c r="K2" s="52" t="n">
        <v>46217</v>
      </c>
      <c r="L2" s="1" t="s">
        <v>199</v>
      </c>
    </row>
  </sheetData>
  <sheetProtection sheet="true" password="ecaf"/>
  <dataValidations count="4">
    <dataValidation allowBlank="false" errorStyle="stop" operator="between" showDropDown="false" showErrorMessage="false" showInputMessage="false" sqref="A2" type="list">
      <formula1>rngDateFormats</formula1>
      <formula2>0</formula2>
    </dataValidation>
    <dataValidation allowBlank="false" errorStyle="stop" operator="between" showDropDown="false" showErrorMessage="false" showInputMessage="false" sqref="B2" type="list">
      <formula1>rngWeekStart</formula1>
      <formula2>0</formula2>
    </dataValidation>
    <dataValidation allowBlank="false" errorStyle="stop" operator="between" showDropDown="false" showErrorMessage="false" showInputMessage="false" sqref="C2" type="list">
      <formula1>rngBooleanChoice</formula1>
      <formula2>0</formula2>
    </dataValidation>
    <dataValidation allowBlank="false" errorStyle="stop" operator="between" showDropDown="false" showErrorMessage="false" showInputMessage="false" sqref="D2" type="list">
      <formula1>rngBooleanChoice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8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</cols>
  <sheetData>
    <row r="2" customFormat="false" ht="15" hidden="false" customHeight="true" outlineLevel="0" collapsed="false">
      <c r="A2" s="51" t="s">
        <v>200</v>
      </c>
      <c r="B2" s="52" t="n">
        <f aca="true">DATE(YEAR(TODAY()),MONTH(TODAY()),1)</f>
        <v>46204</v>
      </c>
    </row>
    <row r="3" customFormat="false" ht="15" hidden="false" customHeight="true" outlineLevel="0" collapsed="false">
      <c r="A3" s="51" t="s">
        <v>201</v>
      </c>
      <c r="B3" s="52" t="n">
        <f aca="false">EDATE(B2,-1)</f>
        <v>46174</v>
      </c>
    </row>
    <row r="4" customFormat="false" ht="15" hidden="false" customHeight="true" outlineLevel="0" collapsed="false">
      <c r="A4" s="51" t="s">
        <v>202</v>
      </c>
      <c r="B4" s="55" t="n">
        <f aca="false">SUMIFS(tbl_Transactions[Amount],tbl_Transactions[Direction],"In",tbl_Transactions[Date],"&gt;="&amp;B2,tbl_Transactions[Date],"&lt;"&amp;EDATE(B2,1))</f>
        <v>0</v>
      </c>
    </row>
    <row r="5" customFormat="false" ht="15" hidden="false" customHeight="true" outlineLevel="0" collapsed="false">
      <c r="A5" s="51" t="s">
        <v>203</v>
      </c>
      <c r="B5" s="55" t="n">
        <f aca="false">SUMIFS(tbl_Transactions[Amount],tbl_Transactions[Direction],"Out",tbl_Transactions[Date],"&gt;="&amp;B2,tbl_Transactions[Date],"&lt;"&amp;EDATE(B2,1))</f>
        <v>45</v>
      </c>
    </row>
    <row r="6" customFormat="false" ht="15" hidden="false" customHeight="true" outlineLevel="0" collapsed="false">
      <c r="A6" s="51" t="s">
        <v>204</v>
      </c>
      <c r="B6" s="55" t="n">
        <f aca="false">B4-B5</f>
        <v>-45</v>
      </c>
    </row>
    <row r="7" customFormat="false" ht="15" hidden="false" customHeight="true" outlineLevel="0" collapsed="false">
      <c r="A7" s="51" t="s">
        <v>205</v>
      </c>
      <c r="B7" s="56" t="n">
        <f aca="false">COUNTIFS(tbl_Transactions[Date],"&gt;="&amp;B2,tbl_Transactions[Date],"&lt;"&amp;EDATE(B2,1))</f>
        <v>1</v>
      </c>
    </row>
    <row r="8" customFormat="false" ht="15" hidden="false" customHeight="true" outlineLevel="0" collapsed="false">
      <c r="A8" s="51" t="s">
        <v>206</v>
      </c>
      <c r="B8" s="55" t="n">
        <f aca="false">IFERROR(AVERAGEIFS(tbl_Transactions[Amount],tbl_Transactions[Date],"&gt;="&amp;B2,tbl_Transactions[Date],"&lt;"&amp;EDATE(B2,1)),0)</f>
        <v>45</v>
      </c>
    </row>
  </sheetData>
  <sheetProtection sheet="true" password="ecaf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5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42"/>
    <col collapsed="false" customWidth="true" hidden="false" outlineLevel="0" max="8" min="8" style="1" width="12"/>
    <col collapsed="false" customWidth="true" hidden="false" outlineLevel="0" max="9" min="9" style="1" width="16"/>
  </cols>
  <sheetData>
    <row r="2" customFormat="false" ht="15" hidden="false" customHeight="true" outlineLevel="0" collapsed="false">
      <c r="A2" s="57" t="s">
        <v>207</v>
      </c>
      <c r="B2" s="57"/>
    </row>
    <row r="3" customFormat="false" ht="15" hidden="false" customHeight="true" outlineLevel="0" collapsed="false">
      <c r="A3" s="58" t="s">
        <v>202</v>
      </c>
      <c r="B3" s="59" t="n">
        <f aca="false">calcMoneyInThisMonth</f>
        <v>0</v>
      </c>
    </row>
    <row r="4" customFormat="false" ht="15" hidden="false" customHeight="true" outlineLevel="0" collapsed="false">
      <c r="A4" s="58" t="s">
        <v>203</v>
      </c>
      <c r="B4" s="59" t="n">
        <f aca="false">calcMoneyOutThisMonth</f>
        <v>45</v>
      </c>
    </row>
    <row r="5" customFormat="false" ht="15" hidden="false" customHeight="true" outlineLevel="0" collapsed="false">
      <c r="A5" s="58" t="s">
        <v>204</v>
      </c>
      <c r="B5" s="59" t="n">
        <f aca="false">calcNetCashFlow</f>
        <v>-45</v>
      </c>
    </row>
    <row r="6" customFormat="false" ht="15" hidden="false" customHeight="true" outlineLevel="0" collapsed="false">
      <c r="A6" s="58" t="s">
        <v>205</v>
      </c>
      <c r="B6" s="60" t="n">
        <f aca="false">calcTransactionCount</f>
        <v>1</v>
      </c>
    </row>
    <row r="7" customFormat="false" ht="15" hidden="false" customHeight="true" outlineLevel="0" collapsed="false">
      <c r="A7" s="58" t="s">
        <v>206</v>
      </c>
      <c r="B7" s="59" t="n">
        <f aca="false">calcAverageTransaction</f>
        <v>45</v>
      </c>
    </row>
    <row r="8" customFormat="false" ht="15" hidden="false" customHeight="true" outlineLevel="0" collapsed="false">
      <c r="A8" s="58" t="s">
        <v>200</v>
      </c>
      <c r="B8" s="61" t="n">
        <f aca="false">calcCurrentMonth</f>
        <v>46204</v>
      </c>
    </row>
    <row r="9" customFormat="false" ht="15" hidden="false" customHeight="true" outlineLevel="0" collapsed="false">
      <c r="A9" s="58" t="s">
        <v>201</v>
      </c>
      <c r="B9" s="61" t="n">
        <f aca="false">calcPreviousMonth</f>
        <v>46174</v>
      </c>
    </row>
    <row r="10" customFormat="false" ht="15" hidden="false" customHeight="true" outlineLevel="0" collapsed="false">
      <c r="A10" s="62" t="s">
        <v>208</v>
      </c>
      <c r="B10" s="62"/>
    </row>
    <row r="11" customFormat="false" ht="15" hidden="false" customHeight="true" outlineLevel="0" collapsed="false">
      <c r="A11" s="62" t="s">
        <v>209</v>
      </c>
      <c r="B11" s="62"/>
    </row>
    <row r="12" customFormat="false" ht="15" hidden="false" customHeight="true" outlineLevel="0" collapsed="false">
      <c r="A12" s="62" t="s">
        <v>210</v>
      </c>
      <c r="B12" s="62"/>
    </row>
    <row r="14" customFormat="false" ht="15" hidden="false" customHeight="true" outlineLevel="0" collapsed="false">
      <c r="A14" s="57" t="s">
        <v>211</v>
      </c>
      <c r="B14" s="57"/>
    </row>
    <row r="15" customFormat="false" ht="15" hidden="false" customHeight="true" outlineLevel="0" collapsed="false">
      <c r="A15" s="58" t="s">
        <v>212</v>
      </c>
      <c r="B15" s="60" t="n">
        <f aca="false">IF(B6&gt;0,1,0)</f>
        <v>1</v>
      </c>
    </row>
    <row r="16" customFormat="false" ht="15" hidden="false" customHeight="true" outlineLevel="0" collapsed="false">
      <c r="A16" s="58" t="s">
        <v>213</v>
      </c>
      <c r="B16" s="63" t="n">
        <f aca="false">IFERROR(B3/B4,IF(B3&gt;0,999,0))</f>
        <v>0</v>
      </c>
    </row>
    <row r="18" customFormat="false" ht="15" hidden="false" customHeight="true" outlineLevel="0" collapsed="false">
      <c r="A18" s="57" t="s">
        <v>214</v>
      </c>
      <c r="B18" s="57"/>
    </row>
    <row r="19" customFormat="false" ht="15" hidden="false" customHeight="true" outlineLevel="0" collapsed="false">
      <c r="A19" s="58" t="s">
        <v>215</v>
      </c>
      <c r="B19" s="60" t="n">
        <f aca="false">IF(B16&gt;=1.5,50,IF(B16&gt;=1.1,40,IF(B16&gt;=0.9,28,IF(B16&gt;=0.6,16,5))))</f>
        <v>5</v>
      </c>
    </row>
    <row r="20" customFormat="false" ht="15" hidden="false" customHeight="true" outlineLevel="0" collapsed="false">
      <c r="A20" s="58" t="s">
        <v>216</v>
      </c>
      <c r="B20" s="60" t="n">
        <f aca="false">IF(B15=1,10,0)</f>
        <v>10</v>
      </c>
    </row>
    <row r="21" customFormat="false" ht="15" hidden="false" customHeight="true" outlineLevel="0" collapsed="false">
      <c r="A21" s="62" t="s">
        <v>217</v>
      </c>
      <c r="B21" s="64" t="n">
        <v>0</v>
      </c>
    </row>
    <row r="22" customFormat="false" ht="15" hidden="false" customHeight="true" outlineLevel="0" collapsed="false">
      <c r="A22" s="62" t="s">
        <v>218</v>
      </c>
      <c r="B22" s="64" t="n">
        <v>0</v>
      </c>
    </row>
    <row r="23" customFormat="false" ht="15" hidden="false" customHeight="true" outlineLevel="0" collapsed="false">
      <c r="A23" s="62" t="s">
        <v>219</v>
      </c>
      <c r="B23" s="64" t="n">
        <v>0</v>
      </c>
    </row>
    <row r="24" customFormat="false" ht="15" hidden="false" customHeight="true" outlineLevel="0" collapsed="false">
      <c r="A24" s="58" t="s">
        <v>220</v>
      </c>
      <c r="B24" s="60" t="n">
        <f aca="false">B19+B20</f>
        <v>15</v>
      </c>
    </row>
    <row r="25" customFormat="false" ht="15" hidden="false" customHeight="true" outlineLevel="0" collapsed="false">
      <c r="A25" s="58" t="s">
        <v>221</v>
      </c>
      <c r="B25" s="60" t="n">
        <f aca="false">B19+B20+B21+B22+B23</f>
        <v>15</v>
      </c>
    </row>
    <row r="26" customFormat="false" ht="15" hidden="false" customHeight="true" outlineLevel="0" collapsed="false">
      <c r="A26" s="58" t="s">
        <v>222</v>
      </c>
      <c r="B26" s="58" t="str">
        <f aca="false">IF(B15=0,"Getting started",IF(B24&gt;=55,"Excellent",IF(B24&gt;=45,"Good",IF(B24&gt;=32,"Fair",IF(B24&gt;=20,"Warning","Critical")))))</f>
        <v>Critical</v>
      </c>
    </row>
    <row r="27" customFormat="false" ht="15" hidden="false" customHeight="true" outlineLevel="0" collapsed="false">
      <c r="A27" s="58" t="s">
        <v>223</v>
      </c>
      <c r="B27" s="60" t="n">
        <f aca="false">IF(B15=0,-1,B25)</f>
        <v>15</v>
      </c>
    </row>
    <row r="29" customFormat="false" ht="15" hidden="false" customHeight="true" outlineLevel="0" collapsed="false">
      <c r="A29" s="57" t="s">
        <v>224</v>
      </c>
      <c r="B29" s="57"/>
    </row>
    <row r="30" customFormat="false" ht="15" hidden="false" customHeight="true" outlineLevel="0" collapsed="false">
      <c r="A30" s="58" t="s">
        <v>225</v>
      </c>
      <c r="B30" s="58" t="str">
        <f aca="false">B26</f>
        <v>Critical</v>
      </c>
    </row>
    <row r="31" customFormat="false" ht="15" hidden="false" customHeight="true" outlineLevel="0" collapsed="false">
      <c r="A31" s="58" t="s">
        <v>226</v>
      </c>
      <c r="B31" s="60" t="n">
        <f aca="false">B27</f>
        <v>15</v>
      </c>
    </row>
    <row r="32" customFormat="false" ht="15" hidden="false" customHeight="true" outlineLevel="0" collapsed="false">
      <c r="A32" s="58" t="s">
        <v>227</v>
      </c>
      <c r="B32" s="58" t="str">
        <f aca="false">INDEX($F$40:$F$45,MATCH($B$26,$D$40:$D$45,0))</f>
        <v>Needs attention</v>
      </c>
    </row>
    <row r="33" customFormat="false" ht="15" hidden="false" customHeight="true" outlineLevel="0" collapsed="false">
      <c r="A33" s="58" t="s">
        <v>228</v>
      </c>
      <c r="B33" s="58" t="str">
        <f aca="false">INDEX($G$40:$G$45,MATCH($B$26,$D$40:$D$45,0))</f>
        <v>Spending is significantly outpacing income this month</v>
      </c>
    </row>
    <row r="34" customFormat="false" ht="15" hidden="false" customHeight="true" outlineLevel="0" collapsed="false">
      <c r="A34" s="58" t="s">
        <v>229</v>
      </c>
      <c r="B34" s="58" t="str">
        <f aca="false">INDEX($H$40:$H$45,MATCH($B$26,$D$40:$D$45,0))</f>
        <v>Critical</v>
      </c>
    </row>
    <row r="35" customFormat="false" ht="15" hidden="false" customHeight="true" outlineLevel="0" collapsed="false">
      <c r="A35" s="58" t="s">
        <v>230</v>
      </c>
      <c r="B35" s="58" t="str">
        <f aca="false">INDEX($I$40:$I$45,MATCH($B$26,$D$40:$D$45,0))</f>
        <v>alert-triangle</v>
      </c>
    </row>
    <row r="38" customFormat="false" ht="15" hidden="false" customHeight="true" outlineLevel="0" collapsed="false">
      <c r="D38" s="65" t="s">
        <v>231</v>
      </c>
      <c r="E38" s="65"/>
      <c r="F38" s="65"/>
      <c r="G38" s="65"/>
      <c r="H38" s="65"/>
      <c r="I38" s="65"/>
    </row>
    <row r="39" customFormat="false" ht="15" hidden="false" customHeight="true" outlineLevel="0" collapsed="false">
      <c r="D39" s="51" t="s">
        <v>232</v>
      </c>
      <c r="E39" s="51" t="s">
        <v>233</v>
      </c>
      <c r="F39" s="51" t="s">
        <v>234</v>
      </c>
      <c r="G39" s="51" t="s">
        <v>235</v>
      </c>
      <c r="H39" s="51" t="s">
        <v>236</v>
      </c>
      <c r="I39" s="51" t="s">
        <v>237</v>
      </c>
    </row>
    <row r="40" customFormat="false" ht="15" hidden="false" customHeight="true" outlineLevel="0" collapsed="false">
      <c r="D40" s="1" t="s">
        <v>238</v>
      </c>
      <c r="E40" s="1" t="n">
        <v>-1</v>
      </c>
      <c r="F40" s="1" t="s">
        <v>238</v>
      </c>
      <c r="G40" s="1" t="s">
        <v>239</v>
      </c>
      <c r="H40" s="1" t="s">
        <v>240</v>
      </c>
      <c r="I40" s="1" t="s">
        <v>106</v>
      </c>
    </row>
    <row r="41" customFormat="false" ht="15" hidden="false" customHeight="true" outlineLevel="0" collapsed="false">
      <c r="D41" s="1" t="s">
        <v>241</v>
      </c>
      <c r="E41" s="1" t="n">
        <v>15</v>
      </c>
      <c r="F41" s="1" t="s">
        <v>9</v>
      </c>
      <c r="G41" s="1" t="s">
        <v>242</v>
      </c>
      <c r="H41" s="1" t="s">
        <v>241</v>
      </c>
      <c r="I41" s="1" t="s">
        <v>243</v>
      </c>
    </row>
    <row r="42" customFormat="false" ht="15" hidden="false" customHeight="true" outlineLevel="0" collapsed="false">
      <c r="D42" s="1" t="s">
        <v>244</v>
      </c>
      <c r="E42" s="1" t="n">
        <v>26</v>
      </c>
      <c r="F42" s="1" t="s">
        <v>245</v>
      </c>
      <c r="G42" s="1" t="s">
        <v>246</v>
      </c>
      <c r="H42" s="1" t="s">
        <v>244</v>
      </c>
      <c r="I42" s="1" t="s">
        <v>247</v>
      </c>
    </row>
    <row r="43" customFormat="false" ht="15" hidden="false" customHeight="true" outlineLevel="0" collapsed="false">
      <c r="D43" s="1" t="s">
        <v>248</v>
      </c>
      <c r="E43" s="1" t="n">
        <v>38</v>
      </c>
      <c r="F43" s="1" t="s">
        <v>249</v>
      </c>
      <c r="G43" s="1" t="s">
        <v>250</v>
      </c>
      <c r="H43" s="1" t="s">
        <v>240</v>
      </c>
      <c r="I43" s="1" t="s">
        <v>251</v>
      </c>
    </row>
    <row r="44" customFormat="false" ht="15" hidden="false" customHeight="true" outlineLevel="0" collapsed="false">
      <c r="D44" s="1" t="s">
        <v>252</v>
      </c>
      <c r="E44" s="1" t="n">
        <v>50</v>
      </c>
      <c r="F44" s="1" t="s">
        <v>252</v>
      </c>
      <c r="G44" s="1" t="s">
        <v>253</v>
      </c>
      <c r="H44" s="1" t="s">
        <v>254</v>
      </c>
      <c r="I44" s="1" t="s">
        <v>255</v>
      </c>
    </row>
    <row r="45" customFormat="false" ht="15" hidden="false" customHeight="true" outlineLevel="0" collapsed="false">
      <c r="D45" s="1" t="s">
        <v>256</v>
      </c>
      <c r="E45" s="1" t="n">
        <v>60</v>
      </c>
      <c r="F45" s="1" t="s">
        <v>256</v>
      </c>
      <c r="G45" s="1" t="s">
        <v>257</v>
      </c>
      <c r="H45" s="1" t="s">
        <v>254</v>
      </c>
      <c r="I45" s="1" t="s">
        <v>258</v>
      </c>
    </row>
  </sheetData>
  <sheetProtection sheet="true" password="ecaf"/>
  <mergeCells count="5">
    <mergeCell ref="A2:B2"/>
    <mergeCell ref="A14:B14"/>
    <mergeCell ref="A18:B18"/>
    <mergeCell ref="A29:B29"/>
    <mergeCell ref="D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5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30"/>
    <col collapsed="false" customWidth="true" hidden="false" outlineLevel="0" max="5" min="5" style="1" width="4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22"/>
  </cols>
  <sheetData>
    <row r="2" customFormat="false" ht="15" hidden="false" customHeight="true" outlineLevel="0" collapsed="false">
      <c r="A2" s="57" t="s">
        <v>207</v>
      </c>
      <c r="B2" s="57"/>
      <c r="C2" s="57"/>
      <c r="D2" s="57"/>
      <c r="E2" s="57"/>
      <c r="F2" s="57"/>
      <c r="G2" s="57"/>
      <c r="H2" s="57"/>
    </row>
    <row r="3" customFormat="false" ht="15" hidden="false" customHeight="true" outlineLevel="0" collapsed="false">
      <c r="A3" s="58" t="s">
        <v>202</v>
      </c>
      <c r="B3" s="59" t="n">
        <f aca="false">calcMoneyInThisMonth</f>
        <v>0</v>
      </c>
    </row>
    <row r="4" customFormat="false" ht="15" hidden="false" customHeight="true" outlineLevel="0" collapsed="false">
      <c r="A4" s="58" t="s">
        <v>203</v>
      </c>
      <c r="B4" s="59" t="n">
        <f aca="false">calcMoneyOutThisMonth</f>
        <v>45</v>
      </c>
    </row>
    <row r="5" customFormat="false" ht="15" hidden="false" customHeight="true" outlineLevel="0" collapsed="false">
      <c r="A5" s="58" t="s">
        <v>204</v>
      </c>
      <c r="B5" s="59" t="n">
        <f aca="false">calcNetCashFlow</f>
        <v>-45</v>
      </c>
    </row>
    <row r="6" customFormat="false" ht="15" hidden="false" customHeight="true" outlineLevel="0" collapsed="false">
      <c r="A6" s="58" t="s">
        <v>205</v>
      </c>
      <c r="B6" s="60" t="n">
        <f aca="false">calcTransactionCount</f>
        <v>1</v>
      </c>
    </row>
    <row r="7" customFormat="false" ht="15" hidden="false" customHeight="true" outlineLevel="0" collapsed="false">
      <c r="A7" s="62" t="s">
        <v>259</v>
      </c>
      <c r="B7" s="62" t="n">
        <f aca="false">COUNTIFS(tbl_Bills[Status],"Overdue")</f>
        <v>1</v>
      </c>
    </row>
    <row r="8" customFormat="false" ht="15" hidden="false" customHeight="true" outlineLevel="0" collapsed="false">
      <c r="A8" s="62" t="s">
        <v>260</v>
      </c>
      <c r="B8" s="62" t="n">
        <f aca="false">COUNTIFS(tbl_Invoices[Status],"Overdue")</f>
        <v>1</v>
      </c>
    </row>
    <row r="9" customFormat="false" ht="15" hidden="false" customHeight="true" outlineLevel="0" collapsed="false">
      <c r="A9" s="62" t="s">
        <v>261</v>
      </c>
      <c r="B9" s="62"/>
    </row>
    <row r="11" customFormat="false" ht="15" hidden="false" customHeight="true" outlineLevel="0" collapsed="false">
      <c r="A11" s="57" t="s">
        <v>262</v>
      </c>
      <c r="B11" s="57"/>
      <c r="C11" s="57"/>
      <c r="D11" s="57"/>
      <c r="E11" s="57"/>
      <c r="F11" s="57"/>
      <c r="G11" s="57"/>
      <c r="H11" s="57"/>
    </row>
    <row r="12" customFormat="false" ht="15" hidden="false" customHeight="true" outlineLevel="0" collapsed="false">
      <c r="A12" s="51" t="s">
        <v>263</v>
      </c>
      <c r="B12" s="51" t="s">
        <v>264</v>
      </c>
      <c r="C12" s="51" t="s">
        <v>265</v>
      </c>
      <c r="D12" s="51" t="s">
        <v>234</v>
      </c>
      <c r="E12" s="51" t="s">
        <v>49</v>
      </c>
      <c r="F12" s="51" t="s">
        <v>266</v>
      </c>
      <c r="G12" s="51" t="s">
        <v>237</v>
      </c>
      <c r="H12" s="51" t="s">
        <v>267</v>
      </c>
    </row>
    <row r="13" customFormat="false" ht="15" hidden="false" customHeight="true" outlineLevel="0" collapsed="false">
      <c r="A13" s="66" t="s">
        <v>268</v>
      </c>
      <c r="B13" s="66" t="n">
        <v>1</v>
      </c>
      <c r="C13" s="66" t="n">
        <f aca="false">IF($B$6=0,1,0)</f>
        <v>0</v>
      </c>
      <c r="D13" s="66" t="s">
        <v>269</v>
      </c>
      <c r="E13" s="66" t="s">
        <v>270</v>
      </c>
      <c r="F13" s="66" t="s">
        <v>271</v>
      </c>
      <c r="G13" s="66" t="s">
        <v>106</v>
      </c>
      <c r="H13" s="66" t="s">
        <v>272</v>
      </c>
    </row>
    <row r="14" customFormat="false" ht="15" hidden="false" customHeight="true" outlineLevel="0" collapsed="false">
      <c r="A14" s="66" t="s">
        <v>273</v>
      </c>
      <c r="B14" s="66" t="n">
        <v>2</v>
      </c>
      <c r="C14" s="66" t="n">
        <f aca="false">IF(AND($B$3=0,$B$6&gt;0),1,0)</f>
        <v>1</v>
      </c>
      <c r="D14" s="66" t="s">
        <v>274</v>
      </c>
      <c r="E14" s="66" t="s">
        <v>275</v>
      </c>
      <c r="F14" s="66" t="s">
        <v>241</v>
      </c>
      <c r="G14" s="66" t="s">
        <v>243</v>
      </c>
      <c r="H14" s="66" t="s">
        <v>272</v>
      </c>
    </row>
    <row r="15" customFormat="false" ht="15" hidden="false" customHeight="true" outlineLevel="0" collapsed="false">
      <c r="A15" s="66" t="s">
        <v>276</v>
      </c>
      <c r="B15" s="66" t="n">
        <v>3</v>
      </c>
      <c r="C15" s="66" t="n">
        <f aca="false">IF(AND($B$5&lt;0,$B$3&gt;0),1,0)</f>
        <v>0</v>
      </c>
      <c r="D15" s="66" t="s">
        <v>277</v>
      </c>
      <c r="E15" s="66" t="s">
        <v>278</v>
      </c>
      <c r="F15" s="66" t="s">
        <v>244</v>
      </c>
      <c r="G15" s="66" t="s">
        <v>247</v>
      </c>
      <c r="H15" s="66" t="s">
        <v>272</v>
      </c>
    </row>
    <row r="16" customFormat="false" ht="15" hidden="false" customHeight="true" outlineLevel="0" collapsed="false">
      <c r="A16" s="66" t="s">
        <v>279</v>
      </c>
      <c r="B16" s="66" t="n">
        <v>4</v>
      </c>
      <c r="C16" s="66" t="n">
        <f aca="false">IF(AND($B$4=0,$B$6&gt;0),1,0)</f>
        <v>0</v>
      </c>
      <c r="D16" s="66" t="s">
        <v>280</v>
      </c>
      <c r="E16" s="66" t="s">
        <v>281</v>
      </c>
      <c r="F16" s="66" t="s">
        <v>271</v>
      </c>
      <c r="G16" s="66" t="s">
        <v>282</v>
      </c>
      <c r="H16" s="66" t="s">
        <v>272</v>
      </c>
    </row>
    <row r="17" customFormat="false" ht="15" hidden="false" customHeight="true" outlineLevel="0" collapsed="false">
      <c r="A17" s="66" t="s">
        <v>283</v>
      </c>
      <c r="B17" s="66" t="n">
        <v>5</v>
      </c>
      <c r="C17" s="66" t="n">
        <f aca="false">IF($B$7&gt;0,1,0)</f>
        <v>1</v>
      </c>
      <c r="D17" s="66" t="s">
        <v>284</v>
      </c>
      <c r="E17" s="66" t="str">
        <f aca="false">"You have "&amp;$B$7&amp;" overdue bill"&amp;IF($B$7=1,"","s")&amp;" totaling $"&amp;TEXT(SUMIFS(tbl_Bills[Amount],tbl_Bills[Status],"Overdue"),"#,##0")&amp;"."</f>
        <v>You have 1 overdue bill totaling $150.</v>
      </c>
      <c r="F17" s="66" t="s">
        <v>241</v>
      </c>
      <c r="G17" s="66" t="s">
        <v>243</v>
      </c>
      <c r="H17" s="66" t="s">
        <v>285</v>
      </c>
    </row>
    <row r="18" customFormat="false" ht="15" hidden="false" customHeight="true" outlineLevel="0" collapsed="false">
      <c r="A18" s="66" t="s">
        <v>286</v>
      </c>
      <c r="B18" s="66" t="n">
        <v>6</v>
      </c>
      <c r="C18" s="66" t="n">
        <f aca="false">IF($B$8&gt;0,1,0)</f>
        <v>1</v>
      </c>
      <c r="D18" s="66" t="s">
        <v>287</v>
      </c>
      <c r="E18" s="66" t="str">
        <f aca="false">"You have "&amp;$B$8&amp;" overdue invoice"&amp;IF($B$8=1,"","s")&amp;" worth $"&amp;TEXT(SUMIFS(tbl_Invoices[Amount],tbl_Invoices[Status],"Overdue"),"#,##0")&amp;"."</f>
        <v>You have 1 overdue invoice worth $1,200.</v>
      </c>
      <c r="F18" s="66" t="s">
        <v>241</v>
      </c>
      <c r="G18" s="66" t="s">
        <v>243</v>
      </c>
      <c r="H18" s="66" t="s">
        <v>288</v>
      </c>
    </row>
    <row r="19" customFormat="false" ht="15" hidden="false" customHeight="true" outlineLevel="0" collapsed="false">
      <c r="A19" s="67" t="s">
        <v>289</v>
      </c>
      <c r="B19" s="67" t="n">
        <v>7</v>
      </c>
      <c r="C19" s="67" t="n">
        <v>0</v>
      </c>
      <c r="D19" s="67" t="s">
        <v>290</v>
      </c>
      <c r="E19" s="67" t="s">
        <v>291</v>
      </c>
      <c r="F19" s="67" t="s">
        <v>292</v>
      </c>
      <c r="G19" s="67" t="s">
        <v>292</v>
      </c>
      <c r="H19" s="67" t="s">
        <v>293</v>
      </c>
    </row>
    <row r="21" customFormat="false" ht="15" hidden="false" customHeight="true" outlineLevel="0" collapsed="false">
      <c r="A21" s="57" t="s">
        <v>294</v>
      </c>
      <c r="B21" s="57"/>
      <c r="C21" s="57"/>
      <c r="D21" s="57"/>
      <c r="E21" s="57"/>
      <c r="F21" s="57"/>
      <c r="G21" s="57"/>
      <c r="H21" s="57"/>
    </row>
    <row r="22" customFormat="false" ht="15" hidden="false" customHeight="true" outlineLevel="0" collapsed="false">
      <c r="A22" s="58" t="s">
        <v>295</v>
      </c>
      <c r="B22" s="58" t="n">
        <f aca="false" t="array" ref="B22:B22">IFERROR(SMALL(IF($C$13:$C$19=1,$B$13:$B$19),1),"")</f>
        <v>2</v>
      </c>
    </row>
    <row r="23" customFormat="false" ht="15" hidden="false" customHeight="true" outlineLevel="0" collapsed="false">
      <c r="A23" s="58" t="s">
        <v>296</v>
      </c>
      <c r="B23" s="58" t="n">
        <f aca="false" t="array" ref="B23:B23">IFERROR(SMALL(IF($C$13:$C$19=1,$B$13:$B$19),2),"")</f>
        <v>5</v>
      </c>
    </row>
    <row r="24" customFormat="false" ht="15" hidden="false" customHeight="true" outlineLevel="0" collapsed="false">
      <c r="A24" s="58" t="s">
        <v>297</v>
      </c>
      <c r="B24" s="58" t="n">
        <f aca="false" t="array" ref="B24:B24">IFERROR(SMALL(IF($C$13:$C$19=1,$B$13:$B$19),3),"")</f>
        <v>6</v>
      </c>
    </row>
    <row r="25" customFormat="false" ht="15" hidden="false" customHeight="true" outlineLevel="0" collapsed="false">
      <c r="A25" s="58" t="s">
        <v>298</v>
      </c>
      <c r="B25" s="58" t="str">
        <f aca="false" t="array" ref="B25:B25">IFERROR(SMALL(IF($C$13:$C$19=1,$B$13:$B$19),4),"")</f>
        <v/>
      </c>
    </row>
    <row r="26" customFormat="false" ht="15" hidden="false" customHeight="true" outlineLevel="0" collapsed="false">
      <c r="A26" s="58" t="s">
        <v>299</v>
      </c>
      <c r="B26" s="58" t="str">
        <f aca="false" t="array" ref="B26:B26">IFERROR(SMALL(IF($C$13:$C$19=1,$B$13:$B$19),5),"")</f>
        <v/>
      </c>
    </row>
    <row r="28" customFormat="false" ht="15" hidden="false" customHeight="true" outlineLevel="0" collapsed="false">
      <c r="A28" s="57" t="s">
        <v>224</v>
      </c>
      <c r="B28" s="57"/>
      <c r="C28" s="57"/>
      <c r="D28" s="57"/>
      <c r="E28" s="57"/>
      <c r="F28" s="57"/>
      <c r="G28" s="57"/>
    </row>
    <row r="29" customFormat="false" ht="15" hidden="false" customHeight="true" outlineLevel="0" collapsed="false">
      <c r="A29" s="51" t="s">
        <v>300</v>
      </c>
      <c r="B29" s="51" t="s">
        <v>264</v>
      </c>
      <c r="C29" s="51" t="s">
        <v>234</v>
      </c>
      <c r="D29" s="51" t="s">
        <v>49</v>
      </c>
      <c r="E29" s="51" t="s">
        <v>266</v>
      </c>
      <c r="F29" s="51" t="s">
        <v>237</v>
      </c>
      <c r="G29" s="51" t="s">
        <v>267</v>
      </c>
    </row>
    <row r="30" customFormat="false" ht="15" hidden="false" customHeight="true" outlineLevel="0" collapsed="false">
      <c r="A30" s="68" t="s">
        <v>301</v>
      </c>
      <c r="B30" s="68" t="n">
        <f aca="false">B22</f>
        <v>2</v>
      </c>
      <c r="C30" s="68" t="str">
        <f aca="false">IFERROR(INDEX($D$13:$D$19,MATCH($B30,$B$13:$B$19,0)),"")</f>
        <v>No income logged</v>
      </c>
      <c r="D30" s="68" t="str">
        <f aca="false">IFERROR(INDEX($E$13:$E$19,MATCH($B30,$B$13:$B$19,0)),"")</f>
        <v>You haven't logged any income this month yet.</v>
      </c>
      <c r="E30" s="68" t="str">
        <f aca="false">IFERROR(INDEX($F$13:$F$19,MATCH($B30,$B$13:$B$19,0)),"")</f>
        <v>Critical</v>
      </c>
      <c r="F30" s="68" t="str">
        <f aca="false">IFERROR(INDEX($G$13:$G$19,MATCH($B30,$B$13:$B$19,0)),"")</f>
        <v>alert-triangle</v>
      </c>
      <c r="G30" s="68" t="str">
        <f aca="false">IFERROR(INDEX($H$13:$H$19,MATCH($B30,$B$13:$B$19,0)),"")</f>
        <v>_calc_Core</v>
      </c>
    </row>
    <row r="31" customFormat="false" ht="15" hidden="false" customHeight="true" outlineLevel="0" collapsed="false">
      <c r="A31" s="68" t="s">
        <v>302</v>
      </c>
      <c r="B31" s="68" t="n">
        <f aca="false">B23</f>
        <v>5</v>
      </c>
      <c r="C31" s="68" t="str">
        <f aca="false">IFERROR(INDEX($D$13:$D$19,MATCH($B31,$B$13:$B$19,0)),"")</f>
        <v>Overdue bills</v>
      </c>
      <c r="D31" s="68" t="str">
        <f aca="false">IFERROR(INDEX($E$13:$E$19,MATCH($B31,$B$13:$B$19,0)),"")</f>
        <v>You have 1 overdue bill totaling $150.</v>
      </c>
      <c r="E31" s="68" t="str">
        <f aca="false">IFERROR(INDEX($F$13:$F$19,MATCH($B31,$B$13:$B$19,0)),"")</f>
        <v>Critical</v>
      </c>
      <c r="F31" s="68" t="str">
        <f aca="false">IFERROR(INDEX($G$13:$G$19,MATCH($B31,$B$13:$B$19,0)),"")</f>
        <v>alert-triangle</v>
      </c>
      <c r="G31" s="68" t="str">
        <f aca="false">IFERROR(INDEX($H$13:$H$19,MATCH($B31,$B$13:$B$19,0)),"")</f>
        <v>tbl_Bills</v>
      </c>
    </row>
    <row r="32" customFormat="false" ht="15" hidden="false" customHeight="true" outlineLevel="0" collapsed="false">
      <c r="A32" s="68" t="s">
        <v>303</v>
      </c>
      <c r="B32" s="68" t="n">
        <f aca="false">B24</f>
        <v>6</v>
      </c>
      <c r="C32" s="68" t="str">
        <f aca="false">IFERROR(INDEX($D$13:$D$19,MATCH($B32,$B$13:$B$19,0)),"")</f>
        <v>Overdue invoices</v>
      </c>
      <c r="D32" s="68" t="str">
        <f aca="false">IFERROR(INDEX($E$13:$E$19,MATCH($B32,$B$13:$B$19,0)),"")</f>
        <v>You have 1 overdue invoice worth $1,200.</v>
      </c>
      <c r="E32" s="68" t="str">
        <f aca="false">IFERROR(INDEX($F$13:$F$19,MATCH($B32,$B$13:$B$19,0)),"")</f>
        <v>Critical</v>
      </c>
      <c r="F32" s="68" t="str">
        <f aca="false">IFERROR(INDEX($G$13:$G$19,MATCH($B32,$B$13:$B$19,0)),"")</f>
        <v>alert-triangle</v>
      </c>
      <c r="G32" s="68" t="str">
        <f aca="false">IFERROR(INDEX($H$13:$H$19,MATCH($B32,$B$13:$B$19,0)),"")</f>
        <v>tbl_Invoices</v>
      </c>
    </row>
    <row r="33" customFormat="false" ht="15" hidden="false" customHeight="true" outlineLevel="0" collapsed="false">
      <c r="A33" s="68" t="s">
        <v>304</v>
      </c>
      <c r="B33" s="68" t="str">
        <f aca="false">B25</f>
        <v/>
      </c>
      <c r="C33" s="68" t="str">
        <f aca="false">IFERROR(INDEX($D$13:$D$19,MATCH($B33,$B$13:$B$19,0)),"")</f>
        <v/>
      </c>
      <c r="D33" s="68" t="str">
        <f aca="false">IFERROR(INDEX($E$13:$E$19,MATCH($B33,$B$13:$B$19,0)),"")</f>
        <v/>
      </c>
      <c r="E33" s="68" t="str">
        <f aca="false">IFERROR(INDEX($F$13:$F$19,MATCH($B33,$B$13:$B$19,0)),"")</f>
        <v/>
      </c>
      <c r="F33" s="68" t="str">
        <f aca="false">IFERROR(INDEX($G$13:$G$19,MATCH($B33,$B$13:$B$19,0)),"")</f>
        <v/>
      </c>
      <c r="G33" s="68" t="str">
        <f aca="false">IFERROR(INDEX($H$13:$H$19,MATCH($B33,$B$13:$B$19,0)),"")</f>
        <v/>
      </c>
    </row>
    <row r="34" customFormat="false" ht="15" hidden="false" customHeight="true" outlineLevel="0" collapsed="false">
      <c r="A34" s="68" t="s">
        <v>305</v>
      </c>
      <c r="B34" s="68" t="str">
        <f aca="false">B26</f>
        <v/>
      </c>
      <c r="C34" s="68" t="str">
        <f aca="false">IFERROR(INDEX($D$13:$D$19,MATCH($B34,$B$13:$B$19,0)),"")</f>
        <v/>
      </c>
      <c r="D34" s="68" t="str">
        <f aca="false">IFERROR(INDEX($E$13:$E$19,MATCH($B34,$B$13:$B$19,0)),"")</f>
        <v/>
      </c>
      <c r="E34" s="68" t="str">
        <f aca="false">IFERROR(INDEX($F$13:$F$19,MATCH($B34,$B$13:$B$19,0)),"")</f>
        <v/>
      </c>
      <c r="F34" s="68" t="str">
        <f aca="false">IFERROR(INDEX($G$13:$G$19,MATCH($B34,$B$13:$B$19,0)),"")</f>
        <v/>
      </c>
      <c r="G34" s="68" t="str">
        <f aca="false">IFERROR(INDEX($H$13:$H$19,MATCH($B34,$B$13:$B$19,0)),"")</f>
        <v/>
      </c>
    </row>
    <row r="35" customFormat="false" ht="15" hidden="false" customHeight="true" outlineLevel="0" collapsed="false">
      <c r="A35" s="58" t="s">
        <v>306</v>
      </c>
      <c r="B35" s="60" t="n">
        <f aca="false">SUM($C$13:$C$19)</f>
        <v>3</v>
      </c>
    </row>
  </sheetData>
  <sheetProtection sheet="true" password="ecaf"/>
  <mergeCells count="4">
    <mergeCell ref="A2:H2"/>
    <mergeCell ref="A11:H11"/>
    <mergeCell ref="A21:H21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77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8"/>
    <col collapsed="false" customWidth="true" hidden="false" outlineLevel="0" max="4" min="4" style="1" width="26"/>
    <col collapsed="false" customWidth="true" hidden="false" outlineLevel="0" max="5" min="5" style="1" width="5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</cols>
  <sheetData>
    <row r="2" customFormat="false" ht="15" hidden="false" customHeight="true" outlineLevel="0" collapsed="false">
      <c r="A2" s="57" t="s">
        <v>207</v>
      </c>
      <c r="B2" s="57"/>
    </row>
    <row r="3" customFormat="false" ht="15" hidden="false" customHeight="true" outlineLevel="0" collapsed="false">
      <c r="A3" s="58" t="s">
        <v>202</v>
      </c>
      <c r="B3" s="59" t="n">
        <f aca="false">calcMoneyInThisMonth</f>
        <v>0</v>
      </c>
    </row>
    <row r="4" customFormat="false" ht="15" hidden="false" customHeight="true" outlineLevel="0" collapsed="false">
      <c r="A4" s="58" t="s">
        <v>203</v>
      </c>
      <c r="B4" s="59" t="n">
        <f aca="false">calcMoneyOutThisMonth</f>
        <v>45</v>
      </c>
    </row>
    <row r="5" customFormat="false" ht="15" hidden="false" customHeight="true" outlineLevel="0" collapsed="false">
      <c r="A5" s="58" t="s">
        <v>204</v>
      </c>
      <c r="B5" s="59" t="n">
        <f aca="false">calcNetCashFlow</f>
        <v>-45</v>
      </c>
    </row>
    <row r="6" customFormat="false" ht="15" hidden="false" customHeight="true" outlineLevel="0" collapsed="false">
      <c r="A6" s="58" t="s">
        <v>205</v>
      </c>
      <c r="B6" s="60" t="n">
        <f aca="false">calcTransactionCount</f>
        <v>1</v>
      </c>
    </row>
    <row r="7" customFormat="false" ht="15" hidden="false" customHeight="true" outlineLevel="0" collapsed="false">
      <c r="A7" s="58" t="s">
        <v>206</v>
      </c>
      <c r="B7" s="59" t="n">
        <f aca="false">calcAverageTransaction</f>
        <v>45</v>
      </c>
    </row>
    <row r="8" customFormat="false" ht="15" hidden="false" customHeight="true" outlineLevel="0" collapsed="false">
      <c r="A8" s="58" t="s">
        <v>200</v>
      </c>
      <c r="B8" s="61" t="n">
        <f aca="false">calcCurrentMonth</f>
        <v>46204</v>
      </c>
    </row>
    <row r="9" customFormat="false" ht="15" hidden="false" customHeight="true" outlineLevel="0" collapsed="false">
      <c r="A9" s="58" t="s">
        <v>201</v>
      </c>
      <c r="B9" s="61" t="n">
        <f aca="false">calcPreviousMonth</f>
        <v>46174</v>
      </c>
    </row>
    <row r="10" customFormat="false" ht="15" hidden="false" customHeight="true" outlineLevel="0" collapsed="false">
      <c r="A10" s="62" t="s">
        <v>307</v>
      </c>
      <c r="B10" s="69" t="n">
        <f aca="false">B77</f>
        <v>0.62</v>
      </c>
    </row>
    <row r="12" customFormat="false" ht="15" hidden="false" customHeight="true" outlineLevel="0" collapsed="false">
      <c r="A12" s="57" t="s">
        <v>262</v>
      </c>
      <c r="B12" s="57"/>
      <c r="C12" s="57"/>
      <c r="D12" s="57"/>
      <c r="E12" s="57"/>
      <c r="F12" s="57"/>
      <c r="G12" s="57"/>
      <c r="H12" s="57"/>
    </row>
    <row r="13" customFormat="false" ht="15" hidden="false" customHeight="true" outlineLevel="0" collapsed="false">
      <c r="A13" s="51" t="s">
        <v>263</v>
      </c>
      <c r="B13" s="51" t="s">
        <v>264</v>
      </c>
      <c r="C13" s="51" t="s">
        <v>265</v>
      </c>
      <c r="D13" s="51" t="s">
        <v>234</v>
      </c>
      <c r="E13" s="51" t="s">
        <v>308</v>
      </c>
      <c r="F13" s="51" t="s">
        <v>309</v>
      </c>
      <c r="G13" s="51" t="s">
        <v>310</v>
      </c>
      <c r="H13" s="51" t="s">
        <v>237</v>
      </c>
    </row>
    <row r="14" customFormat="false" ht="15" hidden="false" customHeight="true" outlineLevel="0" collapsed="false">
      <c r="A14" s="66" t="s">
        <v>268</v>
      </c>
      <c r="B14" s="66" t="n">
        <v>1</v>
      </c>
      <c r="C14" s="66" t="n">
        <f aca="false">IF(AND($B$6&gt;0,$B$71&gt;0),1,0)</f>
        <v>1</v>
      </c>
      <c r="D14" s="66" t="s">
        <v>311</v>
      </c>
      <c r="E14" s="66" t="str">
        <f aca="false">"Your biggest expense this month was "&amp;$B$70&amp;" at $"&amp;TEXT($B$71,"#,##0")&amp;"."</f>
        <v>Your biggest expense this month was Supplies at $45.</v>
      </c>
      <c r="F14" s="66" t="s">
        <v>312</v>
      </c>
      <c r="G14" s="70" t="n">
        <f aca="false">$B$71</f>
        <v>45</v>
      </c>
      <c r="H14" s="66" t="s">
        <v>313</v>
      </c>
    </row>
    <row r="15" customFormat="false" ht="15" hidden="false" customHeight="true" outlineLevel="0" collapsed="false">
      <c r="A15" s="66" t="s">
        <v>273</v>
      </c>
      <c r="B15" s="66" t="n">
        <v>2</v>
      </c>
      <c r="C15" s="66" t="n">
        <f aca="false">IF(AND($B$6&gt;0,$B$73&gt;0),1,0)</f>
        <v>1</v>
      </c>
      <c r="D15" s="66" t="s">
        <v>314</v>
      </c>
      <c r="E15" s="66" t="str">
        <f aca="false">"You paid "&amp;$B$72&amp;" more than anyone else this month, totaling $"&amp;TEXT($B$73,"#,##0")&amp;"."</f>
        <v>You paid City Wholesale Supplies more than anyone else this month, totaling $45.</v>
      </c>
      <c r="F15" s="66" t="s">
        <v>315</v>
      </c>
      <c r="G15" s="70" t="n">
        <f aca="false">$B$73</f>
        <v>45</v>
      </c>
      <c r="H15" s="66" t="s">
        <v>148</v>
      </c>
    </row>
    <row r="16" customFormat="false" ht="15" hidden="false" customHeight="true" outlineLevel="0" collapsed="false">
      <c r="A16" s="66" t="s">
        <v>276</v>
      </c>
      <c r="B16" s="66" t="n">
        <v>3</v>
      </c>
      <c r="C16" s="66" t="n">
        <f aca="false">IF($B$3&gt;0,1,0)</f>
        <v>0</v>
      </c>
      <c r="D16" s="66" t="s">
        <v>316</v>
      </c>
      <c r="E16" s="66" t="str">
        <f aca="false">"You've brought in $"&amp;TEXT($B$3,"#,##0")&amp;" so far this month."</f>
        <v>You've brought in $0 so far this month.</v>
      </c>
      <c r="F16" s="66" t="s">
        <v>317</v>
      </c>
      <c r="G16" s="70" t="n">
        <f aca="false">$B$3</f>
        <v>0</v>
      </c>
      <c r="H16" s="66" t="s">
        <v>255</v>
      </c>
    </row>
    <row r="17" customFormat="false" ht="15" hidden="false" customHeight="true" outlineLevel="0" collapsed="false">
      <c r="A17" s="66" t="s">
        <v>279</v>
      </c>
      <c r="B17" s="66" t="n">
        <v>4</v>
      </c>
      <c r="C17" s="66" t="n">
        <f aca="false">IF($B$6&gt;0,1,0)</f>
        <v>1</v>
      </c>
      <c r="D17" s="66" t="s">
        <v>318</v>
      </c>
      <c r="E17" s="66" t="str">
        <f aca="false">"Your average transaction this month is $"&amp;TEXT($B$7,"#,##0")&amp;"."</f>
        <v>Your average transaction this month is $45.</v>
      </c>
      <c r="F17" s="66" t="s">
        <v>317</v>
      </c>
      <c r="G17" s="70" t="n">
        <f aca="false">$B$7</f>
        <v>45</v>
      </c>
      <c r="H17" s="66" t="s">
        <v>319</v>
      </c>
    </row>
    <row r="18" customFormat="false" ht="15" hidden="false" customHeight="true" outlineLevel="0" collapsed="false">
      <c r="A18" s="66" t="s">
        <v>283</v>
      </c>
      <c r="B18" s="66" t="n">
        <v>5</v>
      </c>
      <c r="C18" s="66" t="n">
        <f aca="false">IF($B$6&gt;0,1,0)</f>
        <v>1</v>
      </c>
      <c r="D18" s="66" t="s">
        <v>320</v>
      </c>
      <c r="E18" s="66" t="str">
        <f aca="false">"You've logged "&amp;$B$6&amp;" transaction"&amp;IF($B$6=1,"","s")&amp;" this month."</f>
        <v>You've logged 1 transaction this month.</v>
      </c>
      <c r="F18" s="66" t="s">
        <v>321</v>
      </c>
      <c r="G18" s="71" t="n">
        <f aca="false">$B$6</f>
        <v>1</v>
      </c>
      <c r="H18" s="66" t="s">
        <v>322</v>
      </c>
    </row>
    <row r="19" customFormat="false" ht="15" hidden="false" customHeight="true" outlineLevel="0" collapsed="false">
      <c r="A19" s="66" t="s">
        <v>286</v>
      </c>
      <c r="B19" s="66" t="n">
        <v>6</v>
      </c>
      <c r="C19" s="66" t="n">
        <f aca="false">IF($B$74&lt;&gt;"",1,0)</f>
        <v>1</v>
      </c>
      <c r="D19" s="66" t="s">
        <v>323</v>
      </c>
      <c r="E19" s="66" t="str">
        <f aca="false">"You are "&amp;TEXT($B$77,"0%")&amp;" of the way to your "&amp;$B$74&amp;" goal."</f>
        <v>You are 62% of the way to your Emergency Fund goal.</v>
      </c>
      <c r="F19" s="66" t="s">
        <v>307</v>
      </c>
      <c r="G19" s="72" t="n">
        <f aca="false">$B$77</f>
        <v>0.62</v>
      </c>
      <c r="H19" s="66" t="s">
        <v>324</v>
      </c>
    </row>
    <row r="21" customFormat="false" ht="15" hidden="false" customHeight="true" outlineLevel="0" collapsed="false">
      <c r="A21" s="57" t="s">
        <v>325</v>
      </c>
      <c r="B21" s="57"/>
    </row>
    <row r="22" customFormat="false" ht="15" hidden="false" customHeight="true" outlineLevel="0" collapsed="false">
      <c r="A22" s="58" t="s">
        <v>295</v>
      </c>
      <c r="B22" s="58" t="n">
        <f aca="false" t="array" ref="B22:B22">IFERROR(SMALL(IF($C$14:$C$19=1,$B$14:$B$19),1),"")</f>
        <v>1</v>
      </c>
    </row>
    <row r="23" customFormat="false" ht="15" hidden="false" customHeight="true" outlineLevel="0" collapsed="false">
      <c r="A23" s="58" t="s">
        <v>296</v>
      </c>
      <c r="B23" s="58" t="n">
        <f aca="false" t="array" ref="B23:B23">IFERROR(SMALL(IF($C$14:$C$19=1,$B$14:$B$19),2),"")</f>
        <v>2</v>
      </c>
    </row>
    <row r="24" customFormat="false" ht="15" hidden="false" customHeight="true" outlineLevel="0" collapsed="false">
      <c r="A24" s="58" t="s">
        <v>297</v>
      </c>
      <c r="B24" s="58" t="n">
        <f aca="false" t="array" ref="B24:B24">IFERROR(SMALL(IF($C$14:$C$19=1,$B$14:$B$19),3),"")</f>
        <v>4</v>
      </c>
    </row>
    <row r="26" customFormat="false" ht="15" hidden="false" customHeight="true" outlineLevel="0" collapsed="false">
      <c r="A26" s="57" t="s">
        <v>224</v>
      </c>
      <c r="B26" s="57"/>
      <c r="C26" s="57"/>
      <c r="D26" s="57"/>
      <c r="E26" s="57"/>
      <c r="F26" s="57"/>
      <c r="G26" s="57"/>
      <c r="H26" s="57"/>
    </row>
    <row r="27" customFormat="false" ht="15" hidden="false" customHeight="true" outlineLevel="0" collapsed="false">
      <c r="A27" s="51" t="s">
        <v>300</v>
      </c>
      <c r="B27" s="51" t="s">
        <v>264</v>
      </c>
      <c r="C27" s="51" t="s">
        <v>234</v>
      </c>
      <c r="D27" s="51" t="s">
        <v>308</v>
      </c>
      <c r="E27" s="51" t="s">
        <v>309</v>
      </c>
      <c r="F27" s="51" t="s">
        <v>310</v>
      </c>
      <c r="G27" s="51" t="s">
        <v>237</v>
      </c>
      <c r="H27" s="51" t="s">
        <v>326</v>
      </c>
    </row>
    <row r="28" customFormat="false" ht="15" hidden="false" customHeight="true" outlineLevel="0" collapsed="false">
      <c r="A28" s="68" t="s">
        <v>301</v>
      </c>
      <c r="B28" s="68" t="n">
        <f aca="false">B22</f>
        <v>1</v>
      </c>
      <c r="C28" s="68" t="str">
        <f aca="false">IFERROR(INDEX($D$14:$D$19,MATCH($B28,$B$14:$B$19,0)),"")</f>
        <v>Your biggest expense</v>
      </c>
      <c r="D28" s="68" t="str">
        <f aca="false">IFERROR(INDEX($E$14:$E$19,MATCH($B28,$B$14:$B$19,0)),"")</f>
        <v>Your biggest expense this month was Supplies at $45.</v>
      </c>
      <c r="E28" s="68" t="str">
        <f aca="false">IFERROR(INDEX($F$14:$F$19,MATCH($B28,$B$14:$B$19,0)),"")</f>
        <v>Spending Pattern</v>
      </c>
      <c r="F28" s="73" t="n">
        <f aca="false">IFERROR(INDEX($G$14:$G$19,MATCH($B28,$B$14:$B$19,0)),"")</f>
        <v>45</v>
      </c>
      <c r="G28" s="68" t="str">
        <f aca="false">IFERROR(INDEX($H$14:$H$19,MATCH($B28,$B$14:$B$19,0)),"")</f>
        <v>bar-chart</v>
      </c>
      <c r="H28" s="68" t="n">
        <v>1</v>
      </c>
    </row>
    <row r="29" customFormat="false" ht="15" hidden="false" customHeight="true" outlineLevel="0" collapsed="false">
      <c r="A29" s="68" t="s">
        <v>302</v>
      </c>
      <c r="B29" s="68" t="n">
        <f aca="false">B23</f>
        <v>2</v>
      </c>
      <c r="C29" s="68" t="str">
        <f aca="false">IFERROR(INDEX($D$14:$D$19,MATCH($B29,$B$14:$B$19,0)),"")</f>
        <v>Your top vendor</v>
      </c>
      <c r="D29" s="68" t="str">
        <f aca="false">IFERROR(INDEX($E$14:$E$19,MATCH($B29,$B$14:$B$19,0)),"")</f>
        <v>You paid City Wholesale Supplies more than anyone else this month, totaling $45.</v>
      </c>
      <c r="E29" s="68" t="str">
        <f aca="false">IFERROR(INDEX($F$14:$F$19,MATCH($B29,$B$14:$B$19,0)),"")</f>
        <v>Vendor Pattern</v>
      </c>
      <c r="F29" s="73" t="n">
        <f aca="false">IFERROR(INDEX($G$14:$G$19,MATCH($B29,$B$14:$B$19,0)),"")</f>
        <v>45</v>
      </c>
      <c r="G29" s="68" t="str">
        <f aca="false">IFERROR(INDEX($H$14:$H$19,MATCH($B29,$B$14:$B$19,0)),"")</f>
        <v>briefcase</v>
      </c>
      <c r="H29" s="68" t="n">
        <v>2</v>
      </c>
    </row>
    <row r="30" customFormat="false" ht="15" hidden="false" customHeight="true" outlineLevel="0" collapsed="false">
      <c r="A30" s="68" t="s">
        <v>303</v>
      </c>
      <c r="B30" s="68" t="n">
        <f aca="false">B24</f>
        <v>4</v>
      </c>
      <c r="C30" s="68" t="str">
        <f aca="false">IFERROR(INDEX($D$14:$D$19,MATCH($B30,$B$14:$B$19,0)),"")</f>
        <v>Average transaction size</v>
      </c>
      <c r="D30" s="68" t="str">
        <f aca="false">IFERROR(INDEX($E$14:$E$19,MATCH($B30,$B$14:$B$19,0)),"")</f>
        <v>Your average transaction this month is $45.</v>
      </c>
      <c r="E30" s="68" t="str">
        <f aca="false">IFERROR(INDEX($F$14:$F$19,MATCH($B30,$B$14:$B$19,0)),"")</f>
        <v>Summary</v>
      </c>
      <c r="F30" s="73" t="n">
        <f aca="false">IFERROR(INDEX($G$14:$G$19,MATCH($B30,$B$14:$B$19,0)),"")</f>
        <v>45</v>
      </c>
      <c r="G30" s="68" t="str">
        <f aca="false">IFERROR(INDEX($H$14:$H$19,MATCH($B30,$B$14:$B$19,0)),"")</f>
        <v>activity</v>
      </c>
      <c r="H30" s="68" t="n">
        <v>3</v>
      </c>
    </row>
    <row r="31" customFormat="false" ht="15" hidden="false" customHeight="true" outlineLevel="0" collapsed="false">
      <c r="A31" s="58" t="s">
        <v>327</v>
      </c>
      <c r="B31" s="60" t="n">
        <f aca="false">SUM($C$14:$C$19)</f>
        <v>5</v>
      </c>
    </row>
    <row r="33" customFormat="false" ht="15" hidden="false" customHeight="true" outlineLevel="0" collapsed="false">
      <c r="A33" s="57" t="s">
        <v>328</v>
      </c>
      <c r="B33" s="57"/>
      <c r="C33" s="57"/>
    </row>
    <row r="34" customFormat="false" ht="15" hidden="false" customHeight="true" outlineLevel="0" collapsed="false">
      <c r="A34" s="74" t="s">
        <v>329</v>
      </c>
    </row>
    <row r="35" customFormat="false" ht="15" hidden="false" customHeight="true" outlineLevel="0" collapsed="false">
      <c r="A35" s="75" t="s">
        <v>55</v>
      </c>
      <c r="B35" s="75" t="s">
        <v>113</v>
      </c>
      <c r="C35" s="75" t="s">
        <v>330</v>
      </c>
    </row>
    <row r="36" customFormat="false" ht="15" hidden="false" customHeight="true" outlineLevel="0" collapsed="false">
      <c r="A36" s="1" t="str">
        <f aca="false">IFERROR(INDEX(tbl_Categories[CategoryID],1),"")</f>
        <v>CAT-001</v>
      </c>
      <c r="B36" s="1" t="str">
        <f aca="false">IFERROR(INDEX(tbl_Categories[CategoryName],1),"")</f>
        <v>Client payments</v>
      </c>
      <c r="C36" s="1" t="n">
        <f aca="false">IF(A36="","",SUMIFS(tbl_Transactions[Amount],tbl_Transactions[CategoryID],A36,tbl_Transactions[Direction],"Out",tbl_Transactions[Date],"&gt;="&amp;$B$8,tbl_Transactions[Date],"&lt;"&amp;EDATE($B$8,1)))</f>
        <v>0</v>
      </c>
    </row>
    <row r="37" customFormat="false" ht="15" hidden="false" customHeight="true" outlineLevel="0" collapsed="false">
      <c r="A37" s="1" t="str">
        <f aca="false">IFERROR(INDEX(tbl_Categories[CategoryID],2),"")</f>
        <v>CAT-002</v>
      </c>
      <c r="B37" s="1" t="str">
        <f aca="false">IFERROR(INDEX(tbl_Categories[CategoryName],2),"")</f>
        <v>Product sales</v>
      </c>
      <c r="C37" s="1" t="n">
        <f aca="false">IF(A37="","",SUMIFS(tbl_Transactions[Amount],tbl_Transactions[CategoryID],A37,tbl_Transactions[Direction],"Out",tbl_Transactions[Date],"&gt;="&amp;$B$8,tbl_Transactions[Date],"&lt;"&amp;EDATE($B$8,1)))</f>
        <v>0</v>
      </c>
    </row>
    <row r="38" customFormat="false" ht="15" hidden="false" customHeight="true" outlineLevel="0" collapsed="false">
      <c r="A38" s="1" t="str">
        <f aca="false">IFERROR(INDEX(tbl_Categories[CategoryID],3),"")</f>
        <v>CAT-003</v>
      </c>
      <c r="B38" s="1" t="str">
        <f aca="false">IFERROR(INDEX(tbl_Categories[CategoryName],3),"")</f>
        <v>Other income</v>
      </c>
      <c r="C38" s="1" t="n">
        <f aca="false">IF(A38="","",SUMIFS(tbl_Transactions[Amount],tbl_Transactions[CategoryID],A38,tbl_Transactions[Direction],"Out",tbl_Transactions[Date],"&gt;="&amp;$B$8,tbl_Transactions[Date],"&lt;"&amp;EDATE($B$8,1)))</f>
        <v>0</v>
      </c>
    </row>
    <row r="39" customFormat="false" ht="15" hidden="false" customHeight="true" outlineLevel="0" collapsed="false">
      <c r="A39" s="1" t="str">
        <f aca="false">IFERROR(INDEX(tbl_Categories[CategoryID],4),"")</f>
        <v>CAT-004</v>
      </c>
      <c r="B39" s="1" t="str">
        <f aca="false">IFERROR(INDEX(tbl_Categories[CategoryName],4),"")</f>
        <v>Rent</v>
      </c>
      <c r="C39" s="1" t="n">
        <f aca="false">IF(A39="","",SUMIFS(tbl_Transactions[Amount],tbl_Transactions[CategoryID],A39,tbl_Transactions[Direction],"Out",tbl_Transactions[Date],"&gt;="&amp;$B$8,tbl_Transactions[Date],"&lt;"&amp;EDATE($B$8,1)))</f>
        <v>0</v>
      </c>
    </row>
    <row r="40" customFormat="false" ht="15" hidden="false" customHeight="true" outlineLevel="0" collapsed="false">
      <c r="A40" s="1" t="str">
        <f aca="false">IFERROR(INDEX(tbl_Categories[CategoryID],5),"")</f>
        <v>CAT-005</v>
      </c>
      <c r="B40" s="1" t="str">
        <f aca="false">IFERROR(INDEX(tbl_Categories[CategoryName],5),"")</f>
        <v>Utilities</v>
      </c>
      <c r="C40" s="1" t="n">
        <f aca="false">IF(A40="","",SUMIFS(tbl_Transactions[Amount],tbl_Transactions[CategoryID],A40,tbl_Transactions[Direction],"Out",tbl_Transactions[Date],"&gt;="&amp;$B$8,tbl_Transactions[Date],"&lt;"&amp;EDATE($B$8,1)))</f>
        <v>0</v>
      </c>
    </row>
    <row r="41" customFormat="false" ht="15" hidden="false" customHeight="true" outlineLevel="0" collapsed="false">
      <c r="A41" s="1" t="str">
        <f aca="false">IFERROR(INDEX(tbl_Categories[CategoryID],6),"")</f>
        <v>CAT-006</v>
      </c>
      <c r="B41" s="1" t="str">
        <f aca="false">IFERROR(INDEX(tbl_Categories[CategoryName],6),"")</f>
        <v>Software subscriptions</v>
      </c>
      <c r="C41" s="1" t="n">
        <f aca="false">IF(A41="","",SUMIFS(tbl_Transactions[Amount],tbl_Transactions[CategoryID],A41,tbl_Transactions[Direction],"Out",tbl_Transactions[Date],"&gt;="&amp;$B$8,tbl_Transactions[Date],"&lt;"&amp;EDATE($B$8,1)))</f>
        <v>0</v>
      </c>
    </row>
    <row r="42" customFormat="false" ht="15" hidden="false" customHeight="true" outlineLevel="0" collapsed="false">
      <c r="A42" s="1" t="str">
        <f aca="false">IFERROR(INDEX(tbl_Categories[CategoryID],7),"")</f>
        <v>CAT-007</v>
      </c>
      <c r="B42" s="1" t="str">
        <f aca="false">IFERROR(INDEX(tbl_Categories[CategoryName],7),"")</f>
        <v>Supplies</v>
      </c>
      <c r="C42" s="1" t="n">
        <f aca="false">IF(A42="","",SUMIFS(tbl_Transactions[Amount],tbl_Transactions[CategoryID],A42,tbl_Transactions[Direction],"Out",tbl_Transactions[Date],"&gt;="&amp;$B$8,tbl_Transactions[Date],"&lt;"&amp;EDATE($B$8,1)))</f>
        <v>45</v>
      </c>
    </row>
    <row r="43" customFormat="false" ht="15" hidden="false" customHeight="true" outlineLevel="0" collapsed="false">
      <c r="A43" s="1" t="str">
        <f aca="false">IFERROR(INDEX(tbl_Categories[CategoryID],8),"")</f>
        <v>CAT-008</v>
      </c>
      <c r="B43" s="1" t="str">
        <f aca="false">IFERROR(INDEX(tbl_Categories[CategoryName],8),"")</f>
        <v>Payroll</v>
      </c>
      <c r="C43" s="1" t="n">
        <f aca="false">IF(A43="","",SUMIFS(tbl_Transactions[Amount],tbl_Transactions[CategoryID],A43,tbl_Transactions[Direction],"Out",tbl_Transactions[Date],"&gt;="&amp;$B$8,tbl_Transactions[Date],"&lt;"&amp;EDATE($B$8,1)))</f>
        <v>0</v>
      </c>
    </row>
    <row r="44" customFormat="false" ht="15" hidden="false" customHeight="true" outlineLevel="0" collapsed="false">
      <c r="A44" s="1" t="str">
        <f aca="false">IFERROR(INDEX(tbl_Categories[CategoryID],9),"")</f>
        <v>CAT-009</v>
      </c>
      <c r="B44" s="1" t="str">
        <f aca="false">IFERROR(INDEX(tbl_Categories[CategoryName],9),"")</f>
        <v>Marketing</v>
      </c>
      <c r="C44" s="1" t="n">
        <f aca="false">IF(A44="","",SUMIFS(tbl_Transactions[Amount],tbl_Transactions[CategoryID],A44,tbl_Transactions[Direction],"Out",tbl_Transactions[Date],"&gt;="&amp;$B$8,tbl_Transactions[Date],"&lt;"&amp;EDATE($B$8,1)))</f>
        <v>0</v>
      </c>
    </row>
    <row r="45" customFormat="false" ht="15" hidden="false" customHeight="true" outlineLevel="0" collapsed="false">
      <c r="A45" s="1" t="str">
        <f aca="false">IFERROR(INDEX(tbl_Categories[CategoryID],10),"")</f>
        <v>CAT-010</v>
      </c>
      <c r="B45" s="1" t="str">
        <f aca="false">IFERROR(INDEX(tbl_Categories[CategoryName],10),"")</f>
        <v>Insurance</v>
      </c>
      <c r="C45" s="1" t="n">
        <f aca="false">IF(A45="","",SUMIFS(tbl_Transactions[Amount],tbl_Transactions[CategoryID],A45,tbl_Transactions[Direction],"Out",tbl_Transactions[Date],"&gt;="&amp;$B$8,tbl_Transactions[Date],"&lt;"&amp;EDATE($B$8,1)))</f>
        <v>0</v>
      </c>
    </row>
    <row r="46" customFormat="false" ht="15" hidden="false" customHeight="true" outlineLevel="0" collapsed="false">
      <c r="A46" s="1" t="str">
        <f aca="false">IFERROR(INDEX(tbl_Categories[CategoryID],11),"")</f>
        <v>CAT-011</v>
      </c>
      <c r="B46" s="1" t="str">
        <f aca="false">IFERROR(INDEX(tbl_Categories[CategoryName],11),"")</f>
        <v>Contractor payments</v>
      </c>
      <c r="C46" s="1" t="n">
        <f aca="false">IF(A46="","",SUMIFS(tbl_Transactions[Amount],tbl_Transactions[CategoryID],A46,tbl_Transactions[Direction],"Out",tbl_Transactions[Date],"&gt;="&amp;$B$8,tbl_Transactions[Date],"&lt;"&amp;EDATE($B$8,1)))</f>
        <v>0</v>
      </c>
    </row>
    <row r="47" customFormat="false" ht="15" hidden="false" customHeight="true" outlineLevel="0" collapsed="false">
      <c r="A47" s="1" t="str">
        <f aca="false">IFERROR(INDEX(tbl_Categories[CategoryID],12),"")</f>
        <v>CAT-012</v>
      </c>
      <c r="B47" s="1" t="str">
        <f aca="false">IFERROR(INDEX(tbl_Categories[CategoryName],12),"")</f>
        <v>Other expenses</v>
      </c>
      <c r="C47" s="1" t="n">
        <f aca="false">IF(A47="","",SUMIFS(tbl_Transactions[Amount],tbl_Transactions[CategoryID],A47,tbl_Transactions[Direction],"Out",tbl_Transactions[Date],"&gt;="&amp;$B$8,tbl_Transactions[Date],"&lt;"&amp;EDATE($B$8,1)))</f>
        <v>0</v>
      </c>
    </row>
    <row r="48" customFormat="false" ht="15" hidden="false" customHeight="true" outlineLevel="0" collapsed="false">
      <c r="A48" s="1" t="str">
        <f aca="false">IFERROR(INDEX(tbl_Categories[CategoryID],13),"")</f>
        <v/>
      </c>
      <c r="B48" s="1" t="str">
        <f aca="false">IFERROR(INDEX(tbl_Categories[CategoryName],13),"")</f>
        <v/>
      </c>
      <c r="C48" s="1" t="str">
        <f aca="false">IF(A48="","",SUMIFS(tbl_Transactions[Amount],tbl_Transactions[CategoryID],A48,tbl_Transactions[Direction],"Out",tbl_Transactions[Date],"&gt;="&amp;$B$8,tbl_Transactions[Date],"&lt;"&amp;EDATE($B$8,1)))</f>
        <v/>
      </c>
    </row>
    <row r="49" customFormat="false" ht="15" hidden="false" customHeight="true" outlineLevel="0" collapsed="false">
      <c r="A49" s="1" t="str">
        <f aca="false">IFERROR(INDEX(tbl_Categories[CategoryID],14),"")</f>
        <v/>
      </c>
      <c r="B49" s="1" t="str">
        <f aca="false">IFERROR(INDEX(tbl_Categories[CategoryName],14),"")</f>
        <v/>
      </c>
      <c r="C49" s="1" t="str">
        <f aca="false">IF(A49="","",SUMIFS(tbl_Transactions[Amount],tbl_Transactions[CategoryID],A49,tbl_Transactions[Direction],"Out",tbl_Transactions[Date],"&gt;="&amp;$B$8,tbl_Transactions[Date],"&lt;"&amp;EDATE($B$8,1)))</f>
        <v/>
      </c>
    </row>
    <row r="50" customFormat="false" ht="15" hidden="false" customHeight="true" outlineLevel="0" collapsed="false">
      <c r="A50" s="1" t="str">
        <f aca="false">IFERROR(INDEX(tbl_Categories[CategoryID],15),"")</f>
        <v/>
      </c>
      <c r="B50" s="1" t="str">
        <f aca="false">IFERROR(INDEX(tbl_Categories[CategoryName],15),"")</f>
        <v/>
      </c>
      <c r="C50" s="1" t="str">
        <f aca="false">IF(A50="","",SUMIFS(tbl_Transactions[Amount],tbl_Transactions[CategoryID],A50,tbl_Transactions[Direction],"Out",tbl_Transactions[Date],"&gt;="&amp;$B$8,tbl_Transactions[Date],"&lt;"&amp;EDATE($B$8,1)))</f>
        <v/>
      </c>
    </row>
    <row r="51" customFormat="false" ht="15" hidden="false" customHeight="true" outlineLevel="0" collapsed="false">
      <c r="A51" s="1" t="str">
        <f aca="false">IFERROR(INDEX(tbl_Categories[CategoryID],16),"")</f>
        <v/>
      </c>
      <c r="B51" s="1" t="str">
        <f aca="false">IFERROR(INDEX(tbl_Categories[CategoryName],16),"")</f>
        <v/>
      </c>
      <c r="C51" s="1" t="str">
        <f aca="false">IF(A51="","",SUMIFS(tbl_Transactions[Amount],tbl_Transactions[CategoryID],A51,tbl_Transactions[Direction],"Out",tbl_Transactions[Date],"&gt;="&amp;$B$8,tbl_Transactions[Date],"&lt;"&amp;EDATE($B$8,1)))</f>
        <v/>
      </c>
    </row>
    <row r="52" customFormat="false" ht="15" hidden="false" customHeight="true" outlineLevel="0" collapsed="false">
      <c r="A52" s="1" t="str">
        <f aca="false">IFERROR(INDEX(tbl_Categories[CategoryID],17),"")</f>
        <v/>
      </c>
      <c r="B52" s="1" t="str">
        <f aca="false">IFERROR(INDEX(tbl_Categories[CategoryName],17),"")</f>
        <v/>
      </c>
      <c r="C52" s="1" t="str">
        <f aca="false">IF(A52="","",SUMIFS(tbl_Transactions[Amount],tbl_Transactions[CategoryID],A52,tbl_Transactions[Direction],"Out",tbl_Transactions[Date],"&gt;="&amp;$B$8,tbl_Transactions[Date],"&lt;"&amp;EDATE($B$8,1)))</f>
        <v/>
      </c>
    </row>
    <row r="53" customFormat="false" ht="15" hidden="false" customHeight="true" outlineLevel="0" collapsed="false">
      <c r="A53" s="1" t="str">
        <f aca="false">IFERROR(INDEX(tbl_Categories[CategoryID],18),"")</f>
        <v/>
      </c>
      <c r="B53" s="1" t="str">
        <f aca="false">IFERROR(INDEX(tbl_Categories[CategoryName],18),"")</f>
        <v/>
      </c>
      <c r="C53" s="1" t="str">
        <f aca="false">IF(A53="","",SUMIFS(tbl_Transactions[Amount],tbl_Transactions[CategoryID],A53,tbl_Transactions[Direction],"Out",tbl_Transactions[Date],"&gt;="&amp;$B$8,tbl_Transactions[Date],"&lt;"&amp;EDATE($B$8,1)))</f>
        <v/>
      </c>
    </row>
    <row r="54" customFormat="false" ht="15" hidden="false" customHeight="true" outlineLevel="0" collapsed="false">
      <c r="A54" s="1" t="str">
        <f aca="false">IFERROR(INDEX(tbl_Categories[CategoryID],19),"")</f>
        <v/>
      </c>
      <c r="B54" s="1" t="str">
        <f aca="false">IFERROR(INDEX(tbl_Categories[CategoryName],19),"")</f>
        <v/>
      </c>
      <c r="C54" s="1" t="str">
        <f aca="false">IF(A54="","",SUMIFS(tbl_Transactions[Amount],tbl_Transactions[CategoryID],A54,tbl_Transactions[Direction],"Out",tbl_Transactions[Date],"&gt;="&amp;$B$8,tbl_Transactions[Date],"&lt;"&amp;EDATE($B$8,1)))</f>
        <v/>
      </c>
    </row>
    <row r="55" customFormat="false" ht="15" hidden="false" customHeight="true" outlineLevel="0" collapsed="false">
      <c r="A55" s="1" t="str">
        <f aca="false">IFERROR(INDEX(tbl_Categories[CategoryID],20),"")</f>
        <v/>
      </c>
      <c r="B55" s="1" t="str">
        <f aca="false">IFERROR(INDEX(tbl_Categories[CategoryName],20),"")</f>
        <v/>
      </c>
      <c r="C55" s="1" t="str">
        <f aca="false">IF(A55="","",SUMIFS(tbl_Transactions[Amount],tbl_Transactions[CategoryID],A55,tbl_Transactions[Direction],"Out",tbl_Transactions[Date],"&gt;="&amp;$B$8,tbl_Transactions[Date],"&lt;"&amp;EDATE($B$8,1)))</f>
        <v/>
      </c>
    </row>
    <row r="57" customFormat="false" ht="15" hidden="false" customHeight="true" outlineLevel="0" collapsed="false">
      <c r="A57" s="74" t="s">
        <v>331</v>
      </c>
    </row>
    <row r="58" customFormat="false" ht="15" hidden="false" customHeight="true" outlineLevel="0" collapsed="false">
      <c r="A58" s="75" t="s">
        <v>57</v>
      </c>
      <c r="B58" s="75" t="s">
        <v>152</v>
      </c>
      <c r="C58" s="75" t="s">
        <v>330</v>
      </c>
    </row>
    <row r="59" customFormat="false" ht="15" hidden="false" customHeight="true" outlineLevel="0" collapsed="false">
      <c r="A59" s="1" t="str">
        <f aca="false">IFERROR(INDEX(tbl_Vendors[VendorID],1),"")</f>
        <v>VEN-007</v>
      </c>
      <c r="B59" s="1" t="str">
        <f aca="false">IFERROR(INDEX(tbl_Vendors[VendorName],1),"")</f>
        <v>City Wholesale Supplies</v>
      </c>
      <c r="C59" s="1" t="n">
        <f aca="false">IF(A59="","",SUMIFS(tbl_Transactions[Amount],tbl_Transactions[VendorID],A59,tbl_Transactions[Direction],"Out",tbl_Transactions[Date],"&gt;="&amp;$B$8,tbl_Transactions[Date],"&lt;"&amp;EDATE($B$8,1)))</f>
        <v>45</v>
      </c>
    </row>
    <row r="60" customFormat="false" ht="15" hidden="false" customHeight="true" outlineLevel="0" collapsed="false">
      <c r="A60" s="1" t="str">
        <f aca="false">IFERROR(INDEX(tbl_Vendors[VendorID],2),"")</f>
        <v/>
      </c>
      <c r="B60" s="1" t="str">
        <f aca="false">IFERROR(INDEX(tbl_Vendors[VendorName],2),"")</f>
        <v/>
      </c>
      <c r="C60" s="1" t="str">
        <f aca="false">IF(A60="","",SUMIFS(tbl_Transactions[Amount],tbl_Transactions[VendorID],A60,tbl_Transactions[Direction],"Out",tbl_Transactions[Date],"&gt;="&amp;$B$8,tbl_Transactions[Date],"&lt;"&amp;EDATE($B$8,1)))</f>
        <v/>
      </c>
    </row>
    <row r="61" customFormat="false" ht="15" hidden="false" customHeight="true" outlineLevel="0" collapsed="false">
      <c r="A61" s="1" t="str">
        <f aca="false">IFERROR(INDEX(tbl_Vendors[VendorID],3),"")</f>
        <v/>
      </c>
      <c r="B61" s="1" t="str">
        <f aca="false">IFERROR(INDEX(tbl_Vendors[VendorName],3),"")</f>
        <v/>
      </c>
      <c r="C61" s="1" t="str">
        <f aca="false">IF(A61="","",SUMIFS(tbl_Transactions[Amount],tbl_Transactions[VendorID],A61,tbl_Transactions[Direction],"Out",tbl_Transactions[Date],"&gt;="&amp;$B$8,tbl_Transactions[Date],"&lt;"&amp;EDATE($B$8,1)))</f>
        <v/>
      </c>
    </row>
    <row r="62" customFormat="false" ht="15" hidden="false" customHeight="true" outlineLevel="0" collapsed="false">
      <c r="A62" s="1" t="str">
        <f aca="false">IFERROR(INDEX(tbl_Vendors[VendorID],4),"")</f>
        <v/>
      </c>
      <c r="B62" s="1" t="str">
        <f aca="false">IFERROR(INDEX(tbl_Vendors[VendorName],4),"")</f>
        <v/>
      </c>
      <c r="C62" s="1" t="str">
        <f aca="false">IF(A62="","",SUMIFS(tbl_Transactions[Amount],tbl_Transactions[VendorID],A62,tbl_Transactions[Direction],"Out",tbl_Transactions[Date],"&gt;="&amp;$B$8,tbl_Transactions[Date],"&lt;"&amp;EDATE($B$8,1)))</f>
        <v/>
      </c>
    </row>
    <row r="63" customFormat="false" ht="15" hidden="false" customHeight="true" outlineLevel="0" collapsed="false">
      <c r="A63" s="1" t="str">
        <f aca="false">IFERROR(INDEX(tbl_Vendors[VendorID],5),"")</f>
        <v/>
      </c>
      <c r="B63" s="1" t="str">
        <f aca="false">IFERROR(INDEX(tbl_Vendors[VendorName],5),"")</f>
        <v/>
      </c>
      <c r="C63" s="1" t="str">
        <f aca="false">IF(A63="","",SUMIFS(tbl_Transactions[Amount],tbl_Transactions[VendorID],A63,tbl_Transactions[Direction],"Out",tbl_Transactions[Date],"&gt;="&amp;$B$8,tbl_Transactions[Date],"&lt;"&amp;EDATE($B$8,1)))</f>
        <v/>
      </c>
    </row>
    <row r="64" customFormat="false" ht="15" hidden="false" customHeight="true" outlineLevel="0" collapsed="false">
      <c r="A64" s="1" t="str">
        <f aca="false">IFERROR(INDEX(tbl_Vendors[VendorID],6),"")</f>
        <v/>
      </c>
      <c r="B64" s="1" t="str">
        <f aca="false">IFERROR(INDEX(tbl_Vendors[VendorName],6),"")</f>
        <v/>
      </c>
      <c r="C64" s="1" t="str">
        <f aca="false">IF(A64="","",SUMIFS(tbl_Transactions[Amount],tbl_Transactions[VendorID],A64,tbl_Transactions[Direction],"Out",tbl_Transactions[Date],"&gt;="&amp;$B$8,tbl_Transactions[Date],"&lt;"&amp;EDATE($B$8,1)))</f>
        <v/>
      </c>
    </row>
    <row r="65" customFormat="false" ht="15" hidden="false" customHeight="true" outlineLevel="0" collapsed="false">
      <c r="A65" s="1" t="str">
        <f aca="false">IFERROR(INDEX(tbl_Vendors[VendorID],7),"")</f>
        <v/>
      </c>
      <c r="B65" s="1" t="str">
        <f aca="false">IFERROR(INDEX(tbl_Vendors[VendorName],7),"")</f>
        <v/>
      </c>
      <c r="C65" s="1" t="str">
        <f aca="false">IF(A65="","",SUMIFS(tbl_Transactions[Amount],tbl_Transactions[VendorID],A65,tbl_Transactions[Direction],"Out",tbl_Transactions[Date],"&gt;="&amp;$B$8,tbl_Transactions[Date],"&lt;"&amp;EDATE($B$8,1)))</f>
        <v/>
      </c>
    </row>
    <row r="66" customFormat="false" ht="15" hidden="false" customHeight="true" outlineLevel="0" collapsed="false">
      <c r="A66" s="1" t="str">
        <f aca="false">IFERROR(INDEX(tbl_Vendors[VendorID],8),"")</f>
        <v/>
      </c>
      <c r="B66" s="1" t="str">
        <f aca="false">IFERROR(INDEX(tbl_Vendors[VendorName],8),"")</f>
        <v/>
      </c>
      <c r="C66" s="1" t="str">
        <f aca="false">IF(A66="","",SUMIFS(tbl_Transactions[Amount],tbl_Transactions[VendorID],A66,tbl_Transactions[Direction],"Out",tbl_Transactions[Date],"&gt;="&amp;$B$8,tbl_Transactions[Date],"&lt;"&amp;EDATE($B$8,1)))</f>
        <v/>
      </c>
    </row>
    <row r="67" customFormat="false" ht="15" hidden="false" customHeight="true" outlineLevel="0" collapsed="false">
      <c r="A67" s="1" t="str">
        <f aca="false">IFERROR(INDEX(tbl_Vendors[VendorID],9),"")</f>
        <v/>
      </c>
      <c r="B67" s="1" t="str">
        <f aca="false">IFERROR(INDEX(tbl_Vendors[VendorName],9),"")</f>
        <v/>
      </c>
      <c r="C67" s="1" t="str">
        <f aca="false">IF(A67="","",SUMIFS(tbl_Transactions[Amount],tbl_Transactions[VendorID],A67,tbl_Transactions[Direction],"Out",tbl_Transactions[Date],"&gt;="&amp;$B$8,tbl_Transactions[Date],"&lt;"&amp;EDATE($B$8,1)))</f>
        <v/>
      </c>
    </row>
    <row r="68" customFormat="false" ht="15" hidden="false" customHeight="true" outlineLevel="0" collapsed="false">
      <c r="A68" s="1" t="str">
        <f aca="false">IFERROR(INDEX(tbl_Vendors[VendorID],10),"")</f>
        <v/>
      </c>
      <c r="B68" s="1" t="str">
        <f aca="false">IFERROR(INDEX(tbl_Vendors[VendorName],10),"")</f>
        <v/>
      </c>
      <c r="C68" s="1" t="str">
        <f aca="false">IF(A68="","",SUMIFS(tbl_Transactions[Amount],tbl_Transactions[VendorID],A68,tbl_Transactions[Direction],"Out",tbl_Transactions[Date],"&gt;="&amp;$B$8,tbl_Transactions[Date],"&lt;"&amp;EDATE($B$8,1)))</f>
        <v/>
      </c>
    </row>
    <row r="70" customFormat="false" ht="15" hidden="false" customHeight="true" outlineLevel="0" collapsed="false">
      <c r="A70" s="58" t="s">
        <v>332</v>
      </c>
      <c r="B70" s="58" t="str">
        <f aca="false">IFERROR(INDEX($B$36:$B$55,MATCH(MAX($C$36:$C$55),$C$36:$C$55,0)),"")</f>
        <v>Supplies</v>
      </c>
    </row>
    <row r="71" customFormat="false" ht="15" hidden="false" customHeight="true" outlineLevel="0" collapsed="false">
      <c r="A71" s="58" t="s">
        <v>333</v>
      </c>
      <c r="B71" s="59" t="n">
        <f aca="false">IFERROR(MAX($C$36:$C$55),0)</f>
        <v>45</v>
      </c>
    </row>
    <row r="72" customFormat="false" ht="15" hidden="false" customHeight="true" outlineLevel="0" collapsed="false">
      <c r="A72" s="58" t="s">
        <v>334</v>
      </c>
      <c r="B72" s="58" t="str">
        <f aca="false">IFERROR(INDEX($B$59:$B$68,MATCH(MAX($C$59:$C$68),$C$59:$C$68,0)),"")</f>
        <v>City Wholesale Supplies</v>
      </c>
    </row>
    <row r="73" customFormat="false" ht="15" hidden="false" customHeight="true" outlineLevel="0" collapsed="false">
      <c r="A73" s="58" t="s">
        <v>335</v>
      </c>
      <c r="B73" s="59" t="n">
        <f aca="false">IFERROR(MAX($C$59:$C$68),0)</f>
        <v>45</v>
      </c>
    </row>
    <row r="74" customFormat="false" ht="15" hidden="false" customHeight="true" outlineLevel="0" collapsed="false">
      <c r="A74" s="58" t="s">
        <v>336</v>
      </c>
      <c r="B74" s="58" t="str">
        <f aca="false">IFERROR(INDEX(tbl_Goals[GoalName],MATCH("Active",tbl_Goals[Status],0)),"")</f>
        <v>Emergency Fund</v>
      </c>
    </row>
    <row r="75" customFormat="false" ht="15" hidden="false" customHeight="true" outlineLevel="0" collapsed="false">
      <c r="A75" s="58" t="s">
        <v>337</v>
      </c>
      <c r="B75" s="59" t="n">
        <f aca="false">IFERROR(INDEX(tbl_Goals[TargetAmount],MATCH("Active",tbl_Goals[Status],0)),0)</f>
        <v>9000</v>
      </c>
    </row>
    <row r="76" customFormat="false" ht="15" hidden="false" customHeight="true" outlineLevel="0" collapsed="false">
      <c r="A76" s="58" t="s">
        <v>338</v>
      </c>
      <c r="B76" s="59" t="n">
        <f aca="false">IFERROR(INDEX(tbl_Goals[CurrentAmount],MATCH("Active",tbl_Goals[Status],0)),0)</f>
        <v>5580</v>
      </c>
    </row>
    <row r="77" customFormat="false" ht="15" hidden="false" customHeight="true" outlineLevel="0" collapsed="false">
      <c r="A77" s="58" t="s">
        <v>339</v>
      </c>
      <c r="B77" s="76" t="n">
        <f aca="false">IFERROR(B76/B75,0)</f>
        <v>0.62</v>
      </c>
    </row>
  </sheetData>
  <sheetProtection sheet="true" password="ecaf"/>
  <mergeCells count="5">
    <mergeCell ref="A2:B2"/>
    <mergeCell ref="A12:H12"/>
    <mergeCell ref="A21:B21"/>
    <mergeCell ref="A26:H26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20"/>
  </cols>
  <sheetData>
    <row r="1" customFormat="false" ht="15" hidden="false" customHeight="true" outlineLevel="0" collapsed="false">
      <c r="A1" s="51" t="s">
        <v>18</v>
      </c>
      <c r="B1" s="51" t="s">
        <v>16</v>
      </c>
      <c r="C1" s="51" t="s">
        <v>340</v>
      </c>
      <c r="D1" s="51" t="s">
        <v>341</v>
      </c>
      <c r="E1" s="51" t="s">
        <v>186</v>
      </c>
      <c r="F1" s="51" t="s">
        <v>25</v>
      </c>
      <c r="G1" s="51" t="s">
        <v>342</v>
      </c>
      <c r="H1" s="51" t="s">
        <v>194</v>
      </c>
      <c r="I1" s="51" t="s">
        <v>343</v>
      </c>
      <c r="J1" s="51" t="s">
        <v>344</v>
      </c>
      <c r="K1" s="51" t="s">
        <v>345</v>
      </c>
      <c r="L1" s="51" t="s">
        <v>346</v>
      </c>
      <c r="M1" s="51" t="s">
        <v>76</v>
      </c>
      <c r="N1" s="51" t="s">
        <v>347</v>
      </c>
      <c r="O1" s="51" t="s">
        <v>99</v>
      </c>
      <c r="P1" s="51" t="s">
        <v>348</v>
      </c>
    </row>
    <row r="2" customFormat="false" ht="15" hidden="false" customHeight="true" outlineLevel="0" collapsed="false">
      <c r="A2" s="1" t="s">
        <v>19</v>
      </c>
      <c r="B2" s="1" t="s">
        <v>17</v>
      </c>
      <c r="C2" s="1" t="s">
        <v>21</v>
      </c>
      <c r="D2" s="1" t="s">
        <v>35</v>
      </c>
      <c r="E2" s="1" t="s">
        <v>23</v>
      </c>
      <c r="F2" s="1" t="s">
        <v>26</v>
      </c>
      <c r="G2" s="1" t="s">
        <v>33</v>
      </c>
      <c r="H2" s="1" t="s">
        <v>37</v>
      </c>
      <c r="I2" s="1" t="s">
        <v>118</v>
      </c>
      <c r="J2" s="1" t="s">
        <v>118</v>
      </c>
      <c r="K2" s="1" t="s">
        <v>349</v>
      </c>
      <c r="L2" s="1" t="s">
        <v>161</v>
      </c>
      <c r="M2" s="1" t="s">
        <v>350</v>
      </c>
      <c r="N2" s="1" t="s">
        <v>351</v>
      </c>
      <c r="O2" s="1" t="s">
        <v>178</v>
      </c>
      <c r="P2" s="1" t="s">
        <v>105</v>
      </c>
    </row>
    <row r="3" customFormat="false" ht="15" hidden="false" customHeight="true" outlineLevel="0" collapsed="false">
      <c r="A3" s="1" t="s">
        <v>352</v>
      </c>
      <c r="B3" s="1" t="s">
        <v>353</v>
      </c>
      <c r="C3" s="1" t="s">
        <v>354</v>
      </c>
      <c r="D3" s="1" t="s">
        <v>355</v>
      </c>
      <c r="E3" s="1" t="s">
        <v>356</v>
      </c>
      <c r="G3" s="1" t="s">
        <v>357</v>
      </c>
      <c r="H3" s="1" t="s">
        <v>358</v>
      </c>
      <c r="I3" s="1" t="s">
        <v>108</v>
      </c>
      <c r="J3" s="1" t="s">
        <v>108</v>
      </c>
      <c r="K3" s="1" t="s">
        <v>359</v>
      </c>
      <c r="L3" s="1" t="s">
        <v>360</v>
      </c>
      <c r="M3" s="1" t="s">
        <v>160</v>
      </c>
      <c r="N3" s="1" t="s">
        <v>174</v>
      </c>
      <c r="O3" s="1" t="s">
        <v>361</v>
      </c>
      <c r="P3" s="1" t="s">
        <v>362</v>
      </c>
    </row>
    <row r="4" customFormat="false" ht="15" hidden="false" customHeight="true" outlineLevel="0" collapsed="false">
      <c r="A4" s="1" t="s">
        <v>363</v>
      </c>
      <c r="B4" s="1" t="s">
        <v>364</v>
      </c>
      <c r="C4" s="1" t="s">
        <v>365</v>
      </c>
      <c r="E4" s="1" t="s">
        <v>366</v>
      </c>
      <c r="J4" s="1" t="s">
        <v>367</v>
      </c>
      <c r="L4" s="1" t="s">
        <v>165</v>
      </c>
      <c r="M4" s="1" t="s">
        <v>368</v>
      </c>
      <c r="N4" s="1" t="s">
        <v>360</v>
      </c>
      <c r="O4" s="1" t="s">
        <v>369</v>
      </c>
      <c r="P4" s="1" t="s">
        <v>370</v>
      </c>
    </row>
    <row r="5" customFormat="false" ht="15" hidden="false" customHeight="true" outlineLevel="0" collapsed="false">
      <c r="A5" s="1" t="s">
        <v>371</v>
      </c>
      <c r="B5" s="1" t="s">
        <v>372</v>
      </c>
      <c r="C5" s="1" t="s">
        <v>373</v>
      </c>
      <c r="E5" s="1" t="s">
        <v>374</v>
      </c>
      <c r="M5" s="1" t="s">
        <v>375</v>
      </c>
      <c r="N5" s="1" t="s">
        <v>165</v>
      </c>
    </row>
    <row r="6" customFormat="false" ht="15" hidden="false" customHeight="true" outlineLevel="0" collapsed="false">
      <c r="A6" s="1" t="s">
        <v>376</v>
      </c>
      <c r="C6" s="1" t="s">
        <v>377</v>
      </c>
      <c r="E6" s="1" t="s">
        <v>378</v>
      </c>
      <c r="M6" s="1" t="s">
        <v>164</v>
      </c>
      <c r="N6" s="1" t="s">
        <v>379</v>
      </c>
    </row>
    <row r="7" customFormat="false" ht="15" hidden="false" customHeight="true" outlineLevel="0" collapsed="false">
      <c r="C7" s="1" t="s">
        <v>380</v>
      </c>
    </row>
    <row r="8" customFormat="false" ht="15" hidden="false" customHeight="true" outlineLevel="0" collapsed="false">
      <c r="C8" s="1" t="s">
        <v>381</v>
      </c>
    </row>
    <row r="9" customFormat="false" ht="15" hidden="false" customHeight="true" outlineLevel="0" collapsed="false">
      <c r="C9" s="1" t="s">
        <v>382</v>
      </c>
    </row>
    <row r="10" customFormat="false" ht="15" hidden="false" customHeight="true" outlineLevel="0" collapsed="false">
      <c r="C10" s="1" t="s">
        <v>383</v>
      </c>
    </row>
    <row r="11" customFormat="false" ht="15" hidden="false" customHeight="true" outlineLevel="0" collapsed="false">
      <c r="C11" s="1" t="s">
        <v>384</v>
      </c>
    </row>
    <row r="12" customFormat="false" ht="15" hidden="false" customHeight="true" outlineLevel="0" collapsed="false">
      <c r="C12" s="1" t="s">
        <v>385</v>
      </c>
    </row>
    <row r="13" customFormat="false" ht="15" hidden="false" customHeight="true" outlineLevel="0" collapsed="false">
      <c r="C13" s="1" t="s">
        <v>386</v>
      </c>
    </row>
  </sheetData>
  <sheetProtection sheet="true" password="ecaf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2026-07-15T09:11:18Z</dcterms:created>
  <dc:creator>openpyxl</dc:creator>
  <dc:description/>
  <dc:language>en-US</dc:language>
  <cp:lastModifiedBy/>
  <dcterms:modified xsi:type="dcterms:W3CDTF">2026-07-18T20:23:12Z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