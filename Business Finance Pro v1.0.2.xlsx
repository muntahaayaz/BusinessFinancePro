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5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ick Add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_data_Transactions" sheetId="7" state="hidden" r:id="rId7"/>
    <sheet xmlns:r="http://schemas.openxmlformats.org/officeDocument/2006/relationships" name="_data_Categories" sheetId="8" state="hidden" r:id="rId8"/>
    <sheet xmlns:r="http://schemas.openxmlformats.org/officeDocument/2006/relationships" name="_data_Vendors" sheetId="9" state="hidden" r:id="rId9"/>
    <sheet xmlns:r="http://schemas.openxmlformats.org/officeDocument/2006/relationships" name="_data_Bills" sheetId="10" state="hidden" r:id="rId10"/>
    <sheet xmlns:r="http://schemas.openxmlformats.org/officeDocument/2006/relationships" name="_data_Customers" sheetId="11" state="hidden" r:id="rId11"/>
    <sheet xmlns:r="http://schemas.openxmlformats.org/officeDocument/2006/relationships" name="_data_Invoices" sheetId="12" state="hidden" r:id="rId12"/>
    <sheet xmlns:r="http://schemas.openxmlformats.org/officeDocument/2006/relationships" name="_data_Goals" sheetId="13" state="hidden" r:id="rId13"/>
    <sheet xmlns:r="http://schemas.openxmlformats.org/officeDocument/2006/relationships" name="_data_BusinessProfile" sheetId="14" state="hidden" r:id="rId14"/>
    <sheet xmlns:r="http://schemas.openxmlformats.org/officeDocument/2006/relationships" name="_data_Settings" sheetId="15" state="hidden" r:id="rId15"/>
    <sheet xmlns:r="http://schemas.openxmlformats.org/officeDocument/2006/relationships" name="_calc_Core" sheetId="16" state="hidden" r:id="rId16"/>
    <sheet xmlns:r="http://schemas.openxmlformats.org/officeDocument/2006/relationships" name="_calc_Health" sheetId="17" state="hidden" r:id="rId17"/>
    <sheet xmlns:r="http://schemas.openxmlformats.org/officeDocument/2006/relationships" name="_calc_Attention" sheetId="18" state="hidden" r:id="rId18"/>
    <sheet xmlns:r="http://schemas.openxmlformats.org/officeDocument/2006/relationships" name="_calc_Insights" sheetId="19" state="hidden" r:id="rId19"/>
    <sheet xmlns:r="http://schemas.openxmlformats.org/officeDocument/2006/relationships" name="_lists_Validation" sheetId="20" state="hidden" r:id="rId20"/>
  </sheets>
  <definedNames>
    <definedName name="AttentionItem1Description">_calc_Attention!$D$30</definedName>
    <definedName name="AttentionItem1Icon">_calc_Attention!$F$30</definedName>
    <definedName name="AttentionItem1Priority">_calc_Attention!$B$30</definedName>
    <definedName name="AttentionItem1Severity">_calc_Attention!$E$30</definedName>
    <definedName name="AttentionItem1Source">_calc_Attention!$G$30</definedName>
    <definedName name="AttentionItem1Title">_calc_Attention!$C$30</definedName>
    <definedName name="AttentionItem2Description">_calc_Attention!$D$31</definedName>
    <definedName name="AttentionItem2Icon">_calc_Attention!$F$31</definedName>
    <definedName name="AttentionItem2Priority">_calc_Attention!$B$31</definedName>
    <definedName name="AttentionItem2Severity">_calc_Attention!$E$31</definedName>
    <definedName name="AttentionItem2Source">_calc_Attention!$G$31</definedName>
    <definedName name="AttentionItem2Title">_calc_Attention!$C$31</definedName>
    <definedName name="AttentionItem3Description">_calc_Attention!$D$32</definedName>
    <definedName name="AttentionItem3Icon">_calc_Attention!$F$32</definedName>
    <definedName name="AttentionItem3Priority">_calc_Attention!$B$32</definedName>
    <definedName name="AttentionItem3Severity">_calc_Attention!$E$32</definedName>
    <definedName name="AttentionItem3Source">_calc_Attention!$G$32</definedName>
    <definedName name="AttentionItem3Title">_calc_Attention!$C$32</definedName>
    <definedName name="AttentionItem4Description">_calc_Attention!$D$33</definedName>
    <definedName name="AttentionItem4Icon">_calc_Attention!$F$33</definedName>
    <definedName name="AttentionItem4Priority">_calc_Attention!$B$33</definedName>
    <definedName name="AttentionItem4Severity">_calc_Attention!$E$33</definedName>
    <definedName name="AttentionItem4Source">_calc_Attention!$G$33</definedName>
    <definedName name="AttentionItem4Title">_calc_Attention!$C$33</definedName>
    <definedName name="AttentionItem5Description">_calc_Attention!$D$34</definedName>
    <definedName name="AttentionItem5Icon">_calc_Attention!$F$34</definedName>
    <definedName name="AttentionItem5Priority">_calc_Attention!$B$34</definedName>
    <definedName name="AttentionItem5Severity">_calc_Attention!$E$34</definedName>
    <definedName name="AttentionItem5Source">_calc_Attention!$G$34</definedName>
    <definedName name="AttentionItem5Title">_calc_Attention!$C$34</definedName>
    <definedName name="AttentionItemCount">_calc_Attention!$B$35</definedName>
    <definedName name="calcAverageTransaction">_calc_Core!$B$8</definedName>
    <definedName name="calcCurrentMonth">_calc_Core!$B$2</definedName>
    <definedName name="calcHealthColor">_calc_Health!$B$34</definedName>
    <definedName name="calcHealthIcon">_calc_Health!$B$35</definedName>
    <definedName name="calcHealthScore">_calc_Health!$B$31</definedName>
    <definedName name="calcHealthState">_calc_Health!$B$30</definedName>
    <definedName name="calcHealthSubtitle">_calc_Health!$B$33</definedName>
    <definedName name="calcHealthTitle">_calc_Health!$B$32</definedName>
    <definedName name="calcMoneyInThisMonth">_calc_Core!$B$4</definedName>
    <definedName name="calcMoneyOutThisMonth">_calc_Core!$B$5</definedName>
    <definedName name="calcNetCashFlow">_calc_Core!$B$6</definedName>
    <definedName name="calcPreviousMonth">_calc_Core!$B$3</definedName>
    <definedName name="calcTransactionCount">_calc_Core!$B$7</definedName>
    <definedName name="CategoryNameList">tbl_Categories[CategoryName]</definedName>
    <definedName name="CelebrationsEnabledFlag">_data_Settings!$D$2</definedName>
    <definedName name="CurrentAppVersion">_data_Settings!$G$2</definedName>
    <definedName name="CurrentBuildNumber">_data_Settings!$J$2</definedName>
    <definedName name="CurrentBusinessName">_data_BusinessProfile!$A$2</definedName>
    <definedName name="CurrentBusinessType">_data_BusinessProfile!$B$2</definedName>
    <definedName name="CurrentCurrency">_data_BusinessProfile!$D$2</definedName>
    <definedName name="CurrentDateFormat">_data_Settings!$A$2</definedName>
    <definedName name="CurrentFiscalYearStart">_data_BusinessProfile!$C$2</definedName>
    <definedName name="CurrentLastBriefingGeneratedDate">_data_Settings!$F$2</definedName>
    <definedName name="CurrentLastUpdated">_data_Settings!$K$2</definedName>
    <definedName name="CurrentLicense">_data_Settings!$L$2</definedName>
    <definedName name="CurrentLogoPlaceholder">_data_BusinessProfile!$G$2</definedName>
    <definedName name="CurrentNumberFormat">_data_Settings!$H$2</definedName>
    <definedName name="CurrentOwnerName">_data_BusinessProfile!$H$2</definedName>
    <definedName name="CurrentSetupCompletedDate">_data_BusinessProfile!$F$2</definedName>
    <definedName name="CurrentStartingCash">_data_BusinessProfile!$E$2</definedName>
    <definedName name="CurrentTheme">_data_Settings!$I$2</definedName>
    <definedName name="CurrentTimeZone">_data_BusinessProfile!$I$2</definedName>
    <definedName name="CurrentWeekStart">_data_Settings!$B$2</definedName>
    <definedName name="CustomerNameList">tbl_Customers[CustomerName]</definedName>
    <definedName name="DefaultInvoiceDueDays">_data_Settings!$E$2</definedName>
    <definedName name="InsightItem1DisplayOrder">_calc_Insights!$H$28</definedName>
    <definedName name="InsightItem1Icon">_calc_Insights!$G$28</definedName>
    <definedName name="InsightItem1InsightType">_calc_Insights!$E$28</definedName>
    <definedName name="InsightItem1Message">_calc_Insights!$D$28</definedName>
    <definedName name="InsightItem1Priority">_calc_Insights!$B$28</definedName>
    <definedName name="InsightItem1SupportingValue">_calc_Insights!$F$28</definedName>
    <definedName name="InsightItem1Title">_calc_Insights!$C$28</definedName>
    <definedName name="InsightItem2DisplayOrder">_calc_Insights!$H$29</definedName>
    <definedName name="InsightItem2Icon">_calc_Insights!$G$29</definedName>
    <definedName name="InsightItem2InsightType">_calc_Insights!$E$29</definedName>
    <definedName name="InsightItem2Message">_calc_Insights!$D$29</definedName>
    <definedName name="InsightItem2Priority">_calc_Insights!$B$29</definedName>
    <definedName name="InsightItem2SupportingValue">_calc_Insights!$F$29</definedName>
    <definedName name="InsightItem2Title">_calc_Insights!$C$29</definedName>
    <definedName name="InsightItem3DisplayOrder">_calc_Insights!$H$30</definedName>
    <definedName name="InsightItem3Icon">_calc_Insights!$G$30</definedName>
    <definedName name="InsightItem3InsightType">_calc_Insights!$E$30</definedName>
    <definedName name="InsightItem3Message">_calc_Insights!$D$30</definedName>
    <definedName name="InsightItem3Priority">_calc_Insights!$B$30</definedName>
    <definedName name="InsightItem3SupportingValue">_calc_Insights!$F$30</definedName>
    <definedName name="InsightItem3Title">_calc_Insights!$C$30</definedName>
    <definedName name="InsightItemCount">_calc_Insights!$B$31</definedName>
    <definedName name="InsightsEnabledFlag">_data_Settings!$C$2</definedName>
    <definedName name="rngBillStatuses">_lists_Validation!$L$2:$L$4</definedName>
    <definedName name="rngBooleanChoice">_lists_Validation!$K$2:$K$3</definedName>
    <definedName name="rngBusinessTypes">_lists_Validation!$B$2:$B$5</definedName>
    <definedName name="rngCategoryDirection">_lists_Validation!$J$2:$J$4</definedName>
    <definedName name="rngCurrencies">_lists_Validation!$A$2:$A$6</definedName>
    <definedName name="rngDateFormats">_lists_Validation!$G$2:$G$3</definedName>
    <definedName name="rngGoalStatuses">_lists_Validation!$P$2:$P$4</definedName>
    <definedName name="rngGoalTypes">_lists_Validation!$O$2:$O$4</definedName>
    <definedName name="rngInvoiceStatuses">_lists_Validation!$N$2:$N$6</definedName>
    <definedName name="rngMonths">_lists_Validation!$C$2:$C$13</definedName>
    <definedName name="rngNumberFormats">_lists_Validation!$H$2:$H$3</definedName>
    <definedName name="rngRecurrenceFrequencies">_lists_Validation!$M$2:$M$6</definedName>
    <definedName name="rngThemes">_lists_Validation!$F$2:$F$2</definedName>
    <definedName name="rngTimeZones">_lists_Validation!$E$2:$E$6</definedName>
    <definedName name="rngTransactionDirection">_lists_Validation!$I$2:$I$3</definedName>
    <definedName name="rngWeekStart">_lists_Validation!$D$2:$D$3</definedName>
    <definedName name="VendorNameList">tbl_Vendors[VendorName]</definedName>
    <definedName name="PayeeNameList">OFFSET(_lists_Validation!$R$2,0,0,MAX(1,COUNTIF(_lists_Validation!$R$2:$R$101,"?*")),1)</definedName>
    <definedName name="_xlnm.Print_Area" localSheetId="0">'Home'!$A$1</definedName>
    <definedName name="_xlnm.Print_Area" localSheetId="1">'Settings'!$A$1</definedName>
    <definedName name="_xlnm.Print_Area" localSheetId="2">'Quick Add'!$A$1</definedName>
    <definedName name="_xlnm.Print_Area" localSheetId="3">'Bills'!$A$1</definedName>
    <definedName name="_xlnm.Print_Area" localSheetId="4">'Clients'!$A$1</definedName>
    <definedName name="_xlnm.Print_Area" localSheetId="5">'Goals'!$A$1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+0%;\-0%;0%"/>
    <numFmt numFmtId="165" formatCode="\$#,##0"/>
    <numFmt numFmtId="166" formatCode="mm/dd/yyyy"/>
    <numFmt numFmtId="167" formatCode="\$#,##0.00"/>
    <numFmt numFmtId="168" formatCode="mm/dd/yyyy\ hh:mm:ss"/>
    <numFmt numFmtId="169" formatCode="yyyy\-mm\-dd"/>
  </numFmts>
  <fonts count="20">
    <font>
      <name val="Calibri"/>
      <charset val="1"/>
      <family val="2"/>
      <color theme="1"/>
      <sz val="11"/>
    </font>
    <font>
      <name val="Aptos"/>
      <charset val="1"/>
      <b val="1"/>
      <color rgb="FF26211C"/>
      <sz val="18"/>
    </font>
    <font>
      <name val="Aptos"/>
      <charset val="1"/>
      <b val="1"/>
      <color rgb="FF26211C"/>
      <sz val="14"/>
    </font>
    <font>
      <name val="Aptos"/>
      <charset val="1"/>
      <color rgb="FF5F5E5A"/>
      <sz val="14"/>
    </font>
    <font>
      <name val="Aptos"/>
      <charset val="1"/>
      <b val="1"/>
      <color rgb="FF26211C"/>
      <sz val="22"/>
    </font>
    <font>
      <name val="Aptos"/>
      <charset val="1"/>
      <color rgb="FF5F5E5A"/>
      <sz val="12"/>
    </font>
    <font>
      <name val="Aptos"/>
      <charset val="1"/>
      <b val="1"/>
      <color rgb="FF26211C"/>
      <sz val="32"/>
    </font>
    <font>
      <name val="Aptos"/>
      <charset val="1"/>
      <b val="1"/>
      <color rgb="FF26211C"/>
      <sz val="24"/>
    </font>
    <font>
      <name val="Aptos"/>
      <charset val="1"/>
      <color rgb="FF26211C"/>
      <sz val="14"/>
    </font>
    <font>
      <name val="Aptos"/>
      <charset val="1"/>
      <color rgb="FF5F5E5A"/>
      <sz val="13"/>
    </font>
    <font>
      <name val="Aptos"/>
      <charset val="1"/>
      <color rgb="FFB4B2A9"/>
      <sz val="14"/>
    </font>
    <font>
      <name val="Aptos"/>
      <charset val="1"/>
      <b val="1"/>
      <color rgb="FF26211C"/>
      <sz val="9"/>
    </font>
    <font>
      <name val="Aptos"/>
      <charset val="1"/>
      <color rgb="FF26211C"/>
      <sz val="9"/>
    </font>
    <font>
      <name val="Aptos"/>
      <charset val="1"/>
      <b val="1"/>
      <color rgb="FF5F5E5A"/>
      <sz val="11"/>
    </font>
    <font>
      <name val="Aptos"/>
      <charset val="1"/>
      <color rgb="FF26211C"/>
      <sz val="12"/>
    </font>
    <font>
      <name val="Aptos"/>
      <charset val="1"/>
      <b val="1"/>
      <color rgb="FF26211C"/>
      <sz val="11"/>
    </font>
    <font>
      <name val="Aptos"/>
      <charset val="1"/>
      <b val="1"/>
      <color rgb="FF26211C"/>
      <sz val="12"/>
    </font>
    <font>
      <name val="Aptos"/>
      <charset val="1"/>
      <color rgb="FF26211C"/>
      <sz val="11"/>
    </font>
    <font>
      <name val="Aptos"/>
      <charset val="1"/>
      <color rgb="FF26211C"/>
      <sz val="10"/>
    </font>
    <font>
      <name val="Aptos"/>
      <charset val="1"/>
      <b val="1"/>
      <color rgb="FF26211C"/>
      <sz val="10"/>
    </font>
  </fonts>
  <fills count="9">
    <fill>
      <patternFill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4E2DA"/>
      </bottom>
      <diagonal/>
    </border>
    <border>
      <left style="thin">
        <color rgb="FFE4E2DA"/>
      </left>
      <right style="thin">
        <color rgb="FFE4E2DA"/>
      </right>
      <top style="thin">
        <color rgb="FFE4E2DA"/>
      </top>
      <bottom/>
      <diagonal/>
    </border>
    <border>
      <left style="thin">
        <color rgb="FFE4E2DA"/>
      </left>
      <right/>
      <top/>
      <bottom style="thin">
        <color rgb="FFE4E2DA"/>
      </bottom>
      <diagonal/>
    </border>
    <border>
      <left/>
      <right style="thin">
        <color rgb="FFE4E2DA"/>
      </right>
      <top/>
      <bottom style="thin">
        <color rgb="FFE4E2DA"/>
      </bottom>
      <diagonal/>
    </border>
    <border>
      <left style="thin">
        <color rgb="FFE4E2DA"/>
      </left>
      <right/>
      <top/>
      <bottom/>
      <diagonal/>
    </border>
    <border>
      <left/>
      <right style="thin">
        <color rgb="FFE4E2DA"/>
      </right>
      <top/>
      <bottom/>
      <diagonal/>
    </border>
    <border>
      <left style="thin">
        <color rgb="FFE4E2DA"/>
      </left>
      <right style="thin">
        <color rgb="FFE4E2DA"/>
      </right>
      <top/>
      <bottom/>
      <diagonal/>
    </border>
    <border>
      <left/>
      <right/>
      <top style="thin">
        <color rgb="FFE4E2DA"/>
      </top>
      <bottom/>
      <diagonal/>
    </border>
    <border>
      <left/>
      <right style="thin">
        <color rgb="FFE4E2DA"/>
      </right>
      <top style="thin">
        <color rgb="FFE4E2DA"/>
      </top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9" fillId="3" borderId="3" applyAlignment="1" pivotButton="0" quotePrefix="0" xfId="0">
      <alignment horizontal="left" vertical="center"/>
    </xf>
    <xf numFmtId="0" fontId="8" fillId="3" borderId="6" applyAlignment="1" applyProtection="1" pivotButton="0" quotePrefix="0" xfId="0">
      <alignment horizontal="left" vertical="center"/>
      <protection locked="0" hidden="0"/>
    </xf>
    <xf numFmtId="0" fontId="9" fillId="3" borderId="5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3" borderId="3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0" fontId="0" fillId="3" borderId="4" pivotButton="0" quotePrefix="0" xfId="0"/>
    <xf numFmtId="0" fontId="8" fillId="3" borderId="5" applyAlignment="1" pivotButton="0" quotePrefix="0" xfId="0">
      <alignment horizontal="left" vertical="center"/>
    </xf>
    <xf numFmtId="0" fontId="0" fillId="3" borderId="0" pivotButton="0" quotePrefix="0" xfId="0"/>
    <xf numFmtId="0" fontId="8" fillId="3" borderId="0" applyAlignment="1" pivotButton="0" quotePrefix="0" xfId="0">
      <alignment horizontal="right" vertical="center"/>
    </xf>
    <xf numFmtId="0" fontId="0" fillId="3" borderId="6" pivotButton="0" quotePrefix="0" xfId="0"/>
    <xf numFmtId="0" fontId="0" fillId="3" borderId="3" pivotButton="0" quotePrefix="0" xfId="0"/>
    <xf numFmtId="0" fontId="11" fillId="5" borderId="0" pivotButton="0" quotePrefix="0" xfId="0"/>
    <xf numFmtId="0" fontId="12" fillId="5" borderId="0" pivotButton="0" quotePrefix="0" xfId="0"/>
    <xf numFmtId="166" fontId="12" fillId="5" borderId="0" pivotButton="0" quotePrefix="0" xfId="0"/>
    <xf numFmtId="167" fontId="12" fillId="5" borderId="0" pivotButton="0" quotePrefix="0" xfId="0"/>
    <xf numFmtId="0" fontId="12" fillId="5" borderId="0" pivotButton="0" quotePrefix="0" xfId="0"/>
    <xf numFmtId="168" fontId="12" fillId="5" borderId="0" pivotButton="0" quotePrefix="0" xfId="0"/>
    <xf numFmtId="0" fontId="0" fillId="5" borderId="0" pivotButton="0" quotePrefix="0" xfId="0"/>
    <xf numFmtId="0" fontId="15" fillId="6" borderId="0" pivotButton="0" quotePrefix="0" xfId="0"/>
    <xf numFmtId="169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17" fillId="6" borderId="0" pivotButton="0" quotePrefix="0" xfId="0"/>
    <xf numFmtId="167" fontId="17" fillId="6" borderId="0" pivotButton="0" quotePrefix="0" xfId="0"/>
    <xf numFmtId="1" fontId="17" fillId="6" borderId="0" pivotButton="0" quotePrefix="0" xfId="0"/>
    <xf numFmtId="169" fontId="17" fillId="6" borderId="0" pivotButton="0" quotePrefix="0" xfId="0"/>
    <xf numFmtId="0" fontId="17" fillId="8" borderId="0" pivotButton="0" quotePrefix="0" xfId="0"/>
    <xf numFmtId="2" fontId="17" fillId="6" borderId="0" pivotButton="0" quotePrefix="0" xfId="0"/>
    <xf numFmtId="1" fontId="17" fillId="8" borderId="0" pivotButton="0" quotePrefix="0" xfId="0"/>
    <xf numFmtId="0" fontId="18" fillId="3" borderId="0" pivotButton="0" quotePrefix="0" xfId="0"/>
    <xf numFmtId="0" fontId="18" fillId="8" borderId="0" pivotButton="0" quotePrefix="0" xfId="0"/>
    <xf numFmtId="0" fontId="18" fillId="0" borderId="0" pivotButton="0" quotePrefix="0" xfId="0"/>
    <xf numFmtId="9" fontId="17" fillId="8" borderId="0" pivotButton="0" quotePrefix="0" xfId="0"/>
    <xf numFmtId="167" fontId="18" fillId="3" borderId="0" pivotButton="0" quotePrefix="0" xfId="0"/>
    <xf numFmtId="1" fontId="18" fillId="3" borderId="0" pivotButton="0" quotePrefix="0" xfId="0"/>
    <xf numFmtId="9" fontId="18" fillId="3" borderId="0" pivotButton="0" quotePrefix="0" xfId="0"/>
    <xf numFmtId="167" fontId="18" fillId="0" borderId="0" pivotButton="0" quotePrefix="0" xfId="0"/>
    <xf numFmtId="0" fontId="15" fillId="0" borderId="0" pivotButton="0" quotePrefix="0" xfId="0"/>
    <xf numFmtId="0" fontId="19" fillId="6" borderId="0" pivotButton="0" quotePrefix="0" xfId="0"/>
    <xf numFmtId="9" fontId="17" fillId="6" borderId="0" pivotButton="0" quotePrefix="0" xfId="0"/>
    <xf numFmtId="0" fontId="8" fillId="3" borderId="4" applyAlignment="1" applyProtection="1" pivotButton="0" quotePrefix="0" xfId="0">
      <alignment horizontal="left" vertical="center"/>
      <protection locked="0" hidden="0"/>
    </xf>
    <xf numFmtId="0" fontId="10" fillId="3" borderId="6" applyAlignment="1" pivotButton="0" quotePrefix="0" xfId="0">
      <alignment horizontal="left" vertical="center"/>
    </xf>
    <xf numFmtId="169" fontId="10" fillId="3" borderId="6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0" fontId="1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 wrapText="1"/>
    </xf>
    <xf numFmtId="0" fontId="13" fillId="3" borderId="5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3" fillId="3" borderId="6" applyAlignment="1" pivotButton="0" quotePrefix="0" xfId="0">
      <alignment horizontal="left" vertical="center"/>
    </xf>
    <xf numFmtId="0" fontId="14" fillId="3" borderId="5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0" fontId="16" fillId="7" borderId="0" pivotButton="0" quotePrefix="0" xfId="0"/>
    <xf numFmtId="0" fontId="15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165" fontId="7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9" fontId="10" fillId="3" borderId="6" applyAlignment="1" pivotButton="0" quotePrefix="0" xfId="0">
      <alignment horizontal="left" vertical="center"/>
    </xf>
    <xf numFmtId="0" fontId="0" fillId="0" borderId="4" pivotButton="0" quotePrefix="0" xfId="0"/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166" fontId="12" fillId="5" borderId="0" pivotButton="0" quotePrefix="0" xfId="0"/>
    <xf numFmtId="167" fontId="12" fillId="5" borderId="0" pivotButton="0" quotePrefix="0" xfId="0"/>
    <xf numFmtId="168" fontId="12" fillId="5" borderId="0" pivotButton="0" quotePrefix="0" xfId="0"/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169" fontId="0" fillId="0" borderId="0" pivotButton="0" quotePrefix="0" xfId="0"/>
    <xf numFmtId="167" fontId="0" fillId="0" borderId="0" pivotButton="0" quotePrefix="0" xfId="0"/>
    <xf numFmtId="167" fontId="17" fillId="6" borderId="0" pivotButton="0" quotePrefix="0" xfId="0"/>
    <xf numFmtId="169" fontId="17" fillId="6" borderId="0" pivotButton="0" quotePrefix="0" xfId="0"/>
    <xf numFmtId="167" fontId="18" fillId="3" borderId="0" pivotButton="0" quotePrefix="0" xfId="0"/>
    <xf numFmtId="167" fontId="18" fillId="0" borderId="0" pivotButton="0" quotePrefix="0" xfId="0"/>
  </cellXfs>
  <cellStyles count="1">
    <cellStyle name="Normal" xfId="0" builtinId="0"/>
  </cellStyles>
  <dxfs count="31"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b val="1"/>
        <color rgb="FF26211C"/>
        <sz val="32"/>
      </font>
    </dxf>
    <dxf>
      <font>
        <name val="Aptos"/>
        <charset val="1"/>
        <b val="1"/>
        <color rgb="FF791F1F"/>
        <sz val="32"/>
      </font>
    </dxf>
    <dxf>
      <font>
        <name val="Aptos"/>
        <charset val="1"/>
        <b val="1"/>
        <color rgb="FF854F0B"/>
        <sz val="32"/>
      </font>
    </dxf>
    <dxf>
      <font>
        <name val="Aptos"/>
        <charset val="1"/>
        <b val="1"/>
        <color rgb="FF3B6D11"/>
        <sz val="3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Transactions" displayName="tbl_Transactions" ref="A1:N4" headerRowCount="1" totalsRowShown="0">
  <autoFilter ref="A1:N2"/>
  <tableColumns count="14">
    <tableColumn id="1" name="TransactionID"/>
    <tableColumn id="2" name="Date"/>
    <tableColumn id="3" name="Direction"/>
    <tableColumn id="4" name="Amount"/>
    <tableColumn id="5" name="CategoryID"/>
    <tableColumn id="6" name="Description"/>
    <tableColumn id="7" name="CustomerID"/>
    <tableColumn id="8" name="VendorID"/>
    <tableColumn id="9" name="RelatedInvoiceID"/>
    <tableColumn id="10" name="RelatedBillID"/>
    <tableColumn id="11" name="IsRecurring"/>
    <tableColumn id="12" name="RecurrenceSourceID"/>
    <tableColumn id="13" name="EntryMethod"/>
    <tableColumn id="14" name="CreatedTimestam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Categories" displayName="tbl_Categories" ref="A1:F13" headerRowCount="1" totalsRowShown="0">
  <autoFilter ref="A1:F13"/>
  <tableColumns count="6">
    <tableColumn id="1" name="CategoryID"/>
    <tableColumn id="2" name="CategoryName"/>
    <tableColumn id="3" name="Direction"/>
    <tableColumn id="4" name="IsSystemDefault"/>
    <tableColumn id="5" name="IsArchived"/>
    <tableColumn id="6" name="IconT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Vendors" displayName="tbl_Vendors" ref="A1:G2" headerRowCount="1" totalsRowShown="0">
  <autoFilter ref="A1:G2"/>
  <tableColumns count="7">
    <tableColumn id="1" name="VendorID"/>
    <tableColumn id="2" name="VendorName"/>
    <tableColumn id="3" name="Email"/>
    <tableColumn id="4" name="Phone"/>
    <tableColumn id="5" name="DefaultCategoryID"/>
    <tableColumn id="6" name="Notes"/>
    <tableColumn id="7" name="IsArchive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_Bills" displayName="tbl_Bills" ref="A1:I3" headerRowCount="1" totalsRowShown="0">
  <autoFilter ref="A1:I3"/>
  <tableColumns count="9">
    <tableColumn id="1" name="BillID"/>
    <tableColumn id="2" name="VendorID"/>
    <tableColumn id="3" name="Amount"/>
    <tableColumn id="4" name="DueDate"/>
    <tableColumn id="5" name="IsRecurring"/>
    <tableColumn id="6" name="RecurrenceFrequency"/>
    <tableColumn id="7" name="Status"/>
    <tableColumn id="8" name="LinkedTransactionID"/>
    <tableColumn id="9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Customers" displayName="tbl_Customers" ref="A1:F2" headerRowCount="1" totalsRowShown="0">
  <autoFilter ref="A1:F2"/>
  <tableColumns count="6">
    <tableColumn id="1" name="CustomerID"/>
    <tableColumn id="2" name="CustomerName"/>
    <tableColumn id="3" name="Email"/>
    <tableColumn id="4" name="Phone"/>
    <tableColumn id="5" name="Notes"/>
    <tableColumn id="6" name="IsArchive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_Invoices" displayName="tbl_Invoices" ref="A1:I3" headerRowCount="1" totalsRowShown="0">
  <autoFilter ref="A1:I3"/>
  <tableColumns count="9">
    <tableColumn id="1" name="InvoiceID"/>
    <tableColumn id="2" name="CustomerID"/>
    <tableColumn id="3" name="IssueDate"/>
    <tableColumn id="4" name="DueDate"/>
    <tableColumn id="5" name="Amount"/>
    <tableColumn id="6" name="Status"/>
    <tableColumn id="7" name="PaidDate"/>
    <tableColumn id="8" name="LinkedTransactionID"/>
    <tableColumn id="9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_Goals" displayName="tbl_Goals" ref="A1:I2" headerRowCount="1" totalsRowShown="0">
  <autoFilter ref="A1:I2"/>
  <tableColumns count="9">
    <tableColumn id="1" name="GoalID"/>
    <tableColumn id="2" name="GoalName"/>
    <tableColumn id="3" name="GoalType"/>
    <tableColumn id="4" name="TargetAmount"/>
    <tableColumn id="5" name="CurrentAmount"/>
    <tableColumn id="6" name="StartDate"/>
    <tableColumn id="7" name="TargetDate"/>
    <tableColumn id="8" name="Status"/>
    <tableColumn id="9" name="IconTag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_BusinessProfile" displayName="tbl_BusinessProfile" ref="A1:I2" headerRowCount="1" totalsRowShown="0">
  <autoFilter ref="A1:I2"/>
  <tableColumns count="9">
    <tableColumn id="1" name="BusinessName"/>
    <tableColumn id="2" name="BusinessType"/>
    <tableColumn id="3" name="FiscalYearStartMonth"/>
    <tableColumn id="4" name="Currency"/>
    <tableColumn id="5" name="StartingCashBalance"/>
    <tableColumn id="6" name="SetupCompletedDate"/>
    <tableColumn id="7" name="LogoPlaceholder"/>
    <tableColumn id="8" name="OwnerName"/>
    <tableColumn id="9" name="TimeZon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bl_Settings" displayName="tbl_Settings" ref="A1:L2" headerRowCount="1" totalsRowShown="0">
  <autoFilter ref="A1:L2"/>
  <tableColumns count="12">
    <tableColumn id="1" name="DateFormatPreference"/>
    <tableColumn id="2" name="WeekStartDay"/>
    <tableColumn id="3" name="InsightsEnabled"/>
    <tableColumn id="4" name="CelebrationAnimationsEnabled"/>
    <tableColumn id="5" name="DefaultInvoiceDueDays"/>
    <tableColumn id="6" name="LastBriefingGeneratedDate"/>
    <tableColumn id="7" name="AppVersion"/>
    <tableColumn id="8" name="NumberFormat"/>
    <tableColumn id="9" name="Theme"/>
    <tableColumn id="10" name="BuildNumber"/>
    <tableColumn id="11" name="LastUpdated"/>
    <tableColumn id="12" name="Licen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showRowColHeaders="0" zoomScale="89" zoomScaleNormal="78" workbookViewId="0">
      <selection activeCell="R7" sqref="R7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6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Home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10" t="inlineStr">
        <is>
          <t>Business health</t>
        </is>
      </c>
      <c r="N6" s="14" t="n"/>
    </row>
    <row r="7" ht="55.5" customHeight="1" s="37">
      <c r="A7" s="14" t="n"/>
      <c r="B7" s="9">
        <f>calcHealthTitle</f>
        <v/>
      </c>
      <c r="N7" s="14" t="n"/>
    </row>
    <row r="8" ht="18" customHeight="1" s="37">
      <c r="A8" s="14" t="n"/>
      <c r="B8" s="10">
        <f>calcHealthSubtitle</f>
        <v/>
      </c>
      <c r="N8" s="14" t="n"/>
    </row>
    <row r="9" ht="24" customHeight="1" s="37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18" customHeight="1" s="37">
      <c r="A10" s="14" t="n"/>
      <c r="B10" s="8" t="inlineStr">
        <is>
          <t>Money in this month</t>
        </is>
      </c>
      <c r="E10" s="14" t="n"/>
      <c r="F10" s="8" t="inlineStr">
        <is>
          <t>Money out this month</t>
        </is>
      </c>
      <c r="I10" s="14" t="n"/>
      <c r="J10" s="14" t="n"/>
      <c r="K10" s="14" t="n"/>
      <c r="L10" s="14" t="n"/>
      <c r="M10" s="14" t="n"/>
      <c r="N10" s="14" t="n"/>
    </row>
    <row r="11" ht="31.5" customHeight="1" s="37">
      <c r="A11" s="14" t="n"/>
      <c r="B11" s="79">
        <f>calcMoneyInThisMonth</f>
        <v/>
      </c>
      <c r="E11" s="14" t="n"/>
      <c r="F11" s="79">
        <f>calcMoneyOutThisMonth</f>
        <v/>
      </c>
      <c r="I11" s="14" t="n"/>
      <c r="J11" s="14" t="n"/>
      <c r="K11" s="14" t="n"/>
      <c r="L11" s="14" t="n"/>
      <c r="M11" s="14" t="n"/>
      <c r="N11" s="14" t="n"/>
    </row>
    <row r="12" ht="18" customHeight="1" s="37">
      <c r="A12" s="14" t="n"/>
      <c r="B12" s="80" t="n"/>
      <c r="E12" s="14" t="n"/>
      <c r="F12" s="80" t="n"/>
      <c r="I12" s="14" t="n"/>
      <c r="J12" s="14" t="n"/>
      <c r="K12" s="14" t="n"/>
      <c r="L12" s="14" t="n"/>
      <c r="M12" s="14" t="n"/>
      <c r="N12" s="14" t="n"/>
    </row>
    <row r="13" ht="15.75" customHeight="1" s="37">
      <c r="A13" s="14" t="n"/>
      <c r="B13" s="18" t="n"/>
      <c r="C13" s="18" t="n"/>
      <c r="D13" s="18" t="n"/>
      <c r="E13" s="14" t="n"/>
      <c r="F13" s="18" t="n"/>
      <c r="G13" s="18" t="n"/>
      <c r="H13" s="18" t="n"/>
      <c r="I13" s="14" t="n"/>
      <c r="J13" s="14" t="n"/>
      <c r="K13" s="14" t="n"/>
      <c r="L13" s="14" t="n"/>
      <c r="M13" s="14" t="n"/>
      <c r="N13" s="14" t="n"/>
    </row>
    <row r="14" ht="12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Needs attention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18" customHeight="1" s="37">
      <c r="A16" s="14" t="n"/>
      <c r="B16" s="19">
        <f>AttentionItem1Title</f>
        <v/>
      </c>
      <c r="C16" s="15" t="n"/>
      <c r="D16" s="15" t="n"/>
      <c r="E16" s="15" t="n"/>
      <c r="F16" s="15" t="n"/>
      <c r="G16" s="15" t="n"/>
      <c r="H16" s="15" t="n"/>
      <c r="I16" s="15" t="n"/>
      <c r="J16" s="20">
        <f>AttentionItem1Severity</f>
        <v/>
      </c>
      <c r="K16" s="15" t="n"/>
      <c r="L16" s="15" t="n"/>
      <c r="M16" s="21" t="n"/>
      <c r="N16" s="14" t="n"/>
    </row>
    <row r="17" ht="18" customHeight="1" s="37">
      <c r="A17" s="14" t="n"/>
      <c r="B17" s="19">
        <f>AttentionItem2Title</f>
        <v/>
      </c>
      <c r="C17" s="15" t="n"/>
      <c r="D17" s="15" t="n"/>
      <c r="E17" s="15" t="n"/>
      <c r="F17" s="15" t="n"/>
      <c r="G17" s="15" t="n"/>
      <c r="H17" s="15" t="n"/>
      <c r="I17" s="15" t="n"/>
      <c r="J17" s="20">
        <f>AttentionItem2Severity</f>
        <v/>
      </c>
      <c r="K17" s="15" t="n"/>
      <c r="L17" s="15" t="n"/>
      <c r="M17" s="21" t="n"/>
      <c r="N17" s="14" t="n"/>
    </row>
    <row r="18" ht="18" customHeight="1" s="37">
      <c r="A18" s="14" t="n"/>
      <c r="B18" s="19">
        <f>AttentionItem3Title</f>
        <v/>
      </c>
      <c r="C18" s="15" t="n"/>
      <c r="D18" s="15" t="n"/>
      <c r="E18" s="15" t="n"/>
      <c r="F18" s="15" t="n"/>
      <c r="G18" s="15" t="n"/>
      <c r="H18" s="15" t="n"/>
      <c r="I18" s="15" t="n"/>
      <c r="J18" s="20">
        <f>AttentionItem3Severity</f>
        <v/>
      </c>
      <c r="K18" s="15" t="n"/>
      <c r="L18" s="15" t="n"/>
      <c r="M18" s="21" t="n"/>
      <c r="N18" s="14" t="n"/>
    </row>
    <row r="19" ht="18" customHeight="1" s="37">
      <c r="A19" s="14" t="n"/>
      <c r="B19" s="19">
        <f>AttentionItem4Title</f>
        <v/>
      </c>
      <c r="C19" s="15" t="n"/>
      <c r="D19" s="15" t="n"/>
      <c r="E19" s="15" t="n"/>
      <c r="F19" s="15" t="n"/>
      <c r="G19" s="15" t="n"/>
      <c r="H19" s="15" t="n"/>
      <c r="I19" s="15" t="n"/>
      <c r="J19" s="20">
        <f>AttentionItem4Severity</f>
        <v/>
      </c>
      <c r="K19" s="15" t="n"/>
      <c r="L19" s="15" t="n"/>
      <c r="M19" s="21" t="n"/>
      <c r="N19" s="14" t="n"/>
    </row>
    <row r="20" ht="18" customHeight="1" s="37">
      <c r="A20" s="14" t="n"/>
      <c r="B20" s="22">
        <f>AttentionItem5Title</f>
        <v/>
      </c>
      <c r="C20" s="23" t="n"/>
      <c r="D20" s="23" t="n"/>
      <c r="E20" s="23" t="n"/>
      <c r="F20" s="23" t="n"/>
      <c r="G20" s="23" t="n"/>
      <c r="H20" s="23" t="n"/>
      <c r="I20" s="23" t="n"/>
      <c r="J20" s="24">
        <f>AttentionItem5Severity</f>
        <v/>
      </c>
      <c r="K20" s="23" t="n"/>
      <c r="L20" s="23" t="n"/>
      <c r="M20" s="25" t="n"/>
      <c r="N20" s="14" t="n"/>
    </row>
    <row r="21" ht="15.75" customHeight="1" s="37">
      <c r="A21" s="14" t="n"/>
      <c r="B21" s="26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21" t="n"/>
      <c r="N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19.5" customHeight="1" s="37">
      <c r="A23" s="14" t="n"/>
      <c r="B23" s="5" t="inlineStr">
        <is>
          <t>This week</t>
        </is>
      </c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2" t="n"/>
      <c r="N23" s="14" t="n"/>
    </row>
    <row r="24" ht="18" customHeight="1" s="37">
      <c r="A24" s="14" t="n"/>
      <c r="B24" s="4">
        <f>_xlfn.TEXTJOIN(" ",TRUE(),InsightItem1Message,InsightItem2Message,InsightItem3Message)</f>
        <v/>
      </c>
      <c r="M24" s="83" t="n"/>
      <c r="N24" s="14" t="n"/>
    </row>
    <row r="25" ht="18" customHeight="1" s="37">
      <c r="A25" s="14" t="n"/>
      <c r="B25" s="84" t="n"/>
      <c r="M25" s="83" t="n"/>
      <c r="N25" s="14" t="n"/>
    </row>
    <row r="26" ht="18" customHeight="1" s="37">
      <c r="A26" s="14" t="n"/>
      <c r="B26" s="84" t="n"/>
      <c r="M26" s="83" t="n"/>
      <c r="N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</row>
    <row r="28" ht="31.5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14">
    <mergeCell ref="B10:D10"/>
    <mergeCell ref="B11:D11"/>
    <mergeCell ref="F10:H10"/>
    <mergeCell ref="B6:M6"/>
    <mergeCell ref="B15:M15"/>
    <mergeCell ref="B7:M7"/>
    <mergeCell ref="B24:M26"/>
    <mergeCell ref="B23:M23"/>
    <mergeCell ref="B8:M8"/>
    <mergeCell ref="F12:H12"/>
    <mergeCell ref="B12:D12"/>
    <mergeCell ref="B4:M4"/>
    <mergeCell ref="F11:H11"/>
    <mergeCell ref="B2:D2"/>
  </mergeCells>
  <conditionalFormatting sqref="B7">
    <cfRule type="expression" priority="2" dxfId="30">
      <formula>EXACT(calcHealthColor,"Success")</formula>
    </cfRule>
    <cfRule type="expression" priority="3" dxfId="29">
      <formula>EXACT(calcHealthColor,"Warning")</formula>
    </cfRule>
    <cfRule type="expression" priority="4" dxfId="28">
      <formula>EXACT(calcHealthColor,"Critical")</formula>
    </cfRule>
    <cfRule type="expression" priority="5" dxfId="27">
      <formula>EXACT(calcHealthColor,"Neutral")</formula>
    </cfRule>
  </conditionalFormatting>
  <conditionalFormatting sqref="B12">
    <cfRule type="expression" priority="6" dxfId="0">
      <formula>B12&gt;0</formula>
    </cfRule>
  </conditionalFormatting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showRowColHeaders="0" zoomScale="107" zoomScaleNormal="93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 t="inlineStr">
        <is>
          <t>Riverside Design Studio</t>
        </is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Settings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5" t="inlineStr">
        <is>
          <t>Business information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</row>
    <row r="7" ht="21.75" customHeight="1" s="37">
      <c r="A7" s="14" t="n"/>
      <c r="B7" s="3" t="inlineStr">
        <is>
          <t>Business name</t>
        </is>
      </c>
      <c r="E7" s="23" t="n"/>
      <c r="F7" s="2" t="inlineStr">
        <is>
          <t>Riverside Design Studio</t>
        </is>
      </c>
      <c r="G7" s="85" t="n"/>
      <c r="H7" s="85" t="n"/>
      <c r="I7" s="85" t="n"/>
      <c r="J7" s="85" t="n"/>
      <c r="K7" s="85" t="n"/>
      <c r="L7" s="85" t="n"/>
      <c r="M7" s="86" t="n"/>
      <c r="N7" s="14" t="n"/>
    </row>
    <row r="8" ht="21.75" customHeight="1" s="37">
      <c r="A8" s="14" t="n"/>
      <c r="B8" s="3" t="inlineStr">
        <is>
          <t>Owner name (optional)</t>
        </is>
      </c>
      <c r="E8" s="23" t="n"/>
      <c r="F8" s="2" t="n"/>
      <c r="G8" s="85" t="n"/>
      <c r="H8" s="85" t="n"/>
      <c r="I8" s="85" t="n"/>
      <c r="J8" s="85" t="n"/>
      <c r="K8" s="85" t="n"/>
      <c r="L8" s="85" t="n"/>
      <c r="M8" s="86" t="n"/>
      <c r="N8" s="14" t="n"/>
    </row>
    <row r="9" ht="21.75" customHeight="1" s="37">
      <c r="A9" s="14" t="n"/>
      <c r="B9" s="3" t="inlineStr">
        <is>
          <t>Industry</t>
        </is>
      </c>
      <c r="E9" s="23" t="n"/>
      <c r="F9" s="2" t="inlineStr">
        <is>
          <t>Freelance</t>
        </is>
      </c>
      <c r="G9" s="85" t="n"/>
      <c r="H9" s="85" t="n"/>
      <c r="I9" s="85" t="n"/>
      <c r="J9" s="85" t="n"/>
      <c r="K9" s="85" t="n"/>
      <c r="L9" s="85" t="n"/>
      <c r="M9" s="86" t="n"/>
      <c r="N9" s="14" t="n"/>
    </row>
    <row r="10" ht="21.75" customHeight="1" s="37">
      <c r="A10" s="14" t="n"/>
      <c r="B10" s="3" t="inlineStr">
        <is>
          <t>Currency</t>
        </is>
      </c>
      <c r="E10" s="23" t="n"/>
      <c r="F10" s="2" t="inlineStr">
        <is>
          <t>USD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</row>
    <row r="11" ht="21.75" customHeight="1" s="37">
      <c r="A11" s="14" t="n"/>
      <c r="B11" s="3" t="inlineStr">
        <is>
          <t>Fiscal year start</t>
        </is>
      </c>
      <c r="E11" s="23" t="n"/>
      <c r="F11" s="2" t="inlineStr">
        <is>
          <t>January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</row>
    <row r="12" ht="21.75" customHeight="1" s="37">
      <c r="A12" s="14" t="n"/>
      <c r="B12" s="1" t="inlineStr">
        <is>
          <t>Time zone</t>
        </is>
      </c>
      <c r="C12" s="78" t="n"/>
      <c r="D12" s="78" t="n"/>
      <c r="E12" s="15" t="n"/>
      <c r="F12" s="58" t="inlineStr">
        <is>
          <t>America/New_York</t>
        </is>
      </c>
      <c r="G12" s="87" t="n"/>
      <c r="H12" s="87" t="n"/>
      <c r="I12" s="87" t="n"/>
      <c r="J12" s="87" t="n"/>
      <c r="K12" s="87" t="n"/>
      <c r="L12" s="87" t="n"/>
      <c r="M12" s="88" t="n"/>
      <c r="N12" s="14" t="n"/>
    </row>
    <row r="13" ht="15.75" customHeight="1" s="37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24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Appearance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21.75" customHeight="1" s="37">
      <c r="A16" s="14" t="n"/>
      <c r="B16" s="3" t="inlineStr">
        <is>
          <t>Theme</t>
        </is>
      </c>
      <c r="E16" s="23" t="n"/>
      <c r="F16" s="2" t="inlineStr">
        <is>
          <t>Light</t>
        </is>
      </c>
      <c r="G16" s="85" t="n"/>
      <c r="H16" s="85" t="n"/>
      <c r="I16" s="85" t="n"/>
      <c r="J16" s="85" t="n"/>
      <c r="K16" s="85" t="n"/>
      <c r="L16" s="85" t="n"/>
      <c r="M16" s="86" t="n"/>
      <c r="N16" s="14" t="n"/>
    </row>
    <row r="17" ht="21.75" customHeight="1" s="37">
      <c r="A17" s="14" t="n"/>
      <c r="B17" s="3" t="inlineStr">
        <is>
          <t>Accent color</t>
        </is>
      </c>
      <c r="E17" s="23" t="n"/>
      <c r="F17" s="59" t="inlineStr">
        <is>
          <t>Set by product (not user-editable in V1)</t>
        </is>
      </c>
      <c r="M17" s="83" t="n"/>
      <c r="N17" s="14" t="n"/>
    </row>
    <row r="18" ht="21.75" customHeight="1" s="37">
      <c r="A18" s="14" t="n"/>
      <c r="B18" s="1" t="inlineStr">
        <is>
          <t>Logo</t>
        </is>
      </c>
      <c r="C18" s="78" t="n"/>
      <c r="D18" s="78" t="n"/>
      <c r="E18" s="15" t="n"/>
      <c r="F18" s="58" t="inlineStr">
        <is>
          <t>No logo uploaded</t>
        </is>
      </c>
      <c r="G18" s="87" t="n"/>
      <c r="H18" s="87" t="n"/>
      <c r="I18" s="87" t="n"/>
      <c r="J18" s="87" t="n"/>
      <c r="K18" s="87" t="n"/>
      <c r="L18" s="87" t="n"/>
      <c r="M18" s="88" t="n"/>
      <c r="N18" s="14" t="n"/>
    </row>
    <row r="19" ht="15.75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24" customHeight="1" s="37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9.5" customHeight="1" s="37">
      <c r="A21" s="14" t="n"/>
      <c r="B21" s="5" t="inlineStr">
        <is>
          <t>Preferences</t>
        </is>
      </c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2" t="n"/>
      <c r="N21" s="14" t="n"/>
    </row>
    <row r="22" ht="21.75" customHeight="1" s="37">
      <c r="A22" s="14" t="n"/>
      <c r="B22" s="3" t="inlineStr">
        <is>
          <t>Default date format</t>
        </is>
      </c>
      <c r="E22" s="23" t="n"/>
      <c r="F22" s="2" t="inlineStr">
        <is>
          <t>MM/DD/YYYY</t>
        </is>
      </c>
      <c r="G22" s="85" t="n"/>
      <c r="H22" s="85" t="n"/>
      <c r="I22" s="85" t="n"/>
      <c r="J22" s="85" t="n"/>
      <c r="K22" s="85" t="n"/>
      <c r="L22" s="85" t="n"/>
      <c r="M22" s="86" t="n"/>
      <c r="N22" s="14" t="n"/>
    </row>
    <row r="23" ht="21.75" customHeight="1" s="37">
      <c r="A23" s="14" t="n"/>
      <c r="B23" s="3" t="inlineStr">
        <is>
          <t>Week start</t>
        </is>
      </c>
      <c r="E23" s="23" t="n"/>
      <c r="F23" s="2" t="inlineStr">
        <is>
          <t>Sunday</t>
        </is>
      </c>
      <c r="G23" s="85" t="n"/>
      <c r="H23" s="85" t="n"/>
      <c r="I23" s="85" t="n"/>
      <c r="J23" s="85" t="n"/>
      <c r="K23" s="85" t="n"/>
      <c r="L23" s="85" t="n"/>
      <c r="M23" s="86" t="n"/>
      <c r="N23" s="14" t="n"/>
    </row>
    <row r="24" ht="21.75" customHeight="1" s="37">
      <c r="A24" s="14" t="n"/>
      <c r="B24" s="1" t="inlineStr">
        <is>
          <t>Number format</t>
        </is>
      </c>
      <c r="C24" s="78" t="n"/>
      <c r="D24" s="78" t="n"/>
      <c r="E24" s="15" t="n"/>
      <c r="F24" s="58" t="inlineStr">
        <is>
          <t>US format</t>
        </is>
      </c>
      <c r="G24" s="87" t="n"/>
      <c r="H24" s="87" t="n"/>
      <c r="I24" s="87" t="n"/>
      <c r="J24" s="87" t="n"/>
      <c r="K24" s="87" t="n"/>
      <c r="L24" s="87" t="n"/>
      <c r="M24" s="88" t="n"/>
      <c r="N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19.5" customHeight="1" s="37">
      <c r="A27" s="14" t="n"/>
      <c r="B27" s="5" t="inlineStr">
        <is>
          <t>Product information</t>
        </is>
      </c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2" t="n"/>
      <c r="N27" s="14" t="n"/>
    </row>
    <row r="28" ht="21.75" customHeight="1" s="37">
      <c r="A28" s="14" t="n"/>
      <c r="B28" s="3" t="inlineStr">
        <is>
          <t>Version</t>
        </is>
      </c>
      <c r="E28" s="23" t="n"/>
      <c r="F28" s="59">
        <f>CurrentAppVersion</f>
        <v/>
      </c>
      <c r="M28" s="83" t="n"/>
      <c r="N28" s="14" t="n"/>
    </row>
    <row r="29" ht="21.75" customHeight="1" s="37">
      <c r="A29" s="14" t="n"/>
      <c r="B29" s="3" t="inlineStr">
        <is>
          <t>Build number</t>
        </is>
      </c>
      <c r="E29" s="23" t="n"/>
      <c r="F29" s="59">
        <f>CurrentBuildNumber</f>
        <v/>
      </c>
      <c r="M29" s="83" t="n"/>
      <c r="N29" s="14" t="n"/>
    </row>
    <row r="30" ht="21.75" customHeight="1" s="37">
      <c r="A30" s="14" t="n"/>
      <c r="B30" s="3" t="inlineStr">
        <is>
          <t>Last updated</t>
        </is>
      </c>
      <c r="E30" s="23" t="n"/>
      <c r="F30" s="89">
        <f>CurrentLastUpdated</f>
        <v/>
      </c>
      <c r="M30" s="83" t="n"/>
      <c r="N30" s="14" t="n"/>
    </row>
    <row r="31" ht="21.75" customHeight="1" s="37">
      <c r="A31" s="14" t="n"/>
      <c r="B31" s="1" t="inlineStr">
        <is>
          <t>License</t>
        </is>
      </c>
      <c r="C31" s="78" t="n"/>
      <c r="D31" s="78" t="n"/>
      <c r="E31" s="15" t="n"/>
      <c r="F31" s="61">
        <f>CurrentLicense</f>
        <v/>
      </c>
      <c r="G31" s="78" t="n"/>
      <c r="H31" s="78" t="n"/>
      <c r="I31" s="78" t="n"/>
      <c r="J31" s="78" t="n"/>
      <c r="K31" s="78" t="n"/>
      <c r="L31" s="78" t="n"/>
      <c r="M31" s="90" t="n"/>
      <c r="N31" s="14" t="n"/>
    </row>
    <row r="32" ht="15.75" customHeight="1" s="37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38">
    <mergeCell ref="B11:D11"/>
    <mergeCell ref="F29:M29"/>
    <mergeCell ref="B23:D23"/>
    <mergeCell ref="F11:M11"/>
    <mergeCell ref="B8:D8"/>
    <mergeCell ref="B17:D17"/>
    <mergeCell ref="F16:M16"/>
    <mergeCell ref="F10:M10"/>
    <mergeCell ref="B29:D29"/>
    <mergeCell ref="F7:M7"/>
    <mergeCell ref="B10:D10"/>
    <mergeCell ref="B28:D28"/>
    <mergeCell ref="F12:M12"/>
    <mergeCell ref="F30:M30"/>
    <mergeCell ref="F24:M24"/>
    <mergeCell ref="B9:D9"/>
    <mergeCell ref="B30:D30"/>
    <mergeCell ref="F18:M18"/>
    <mergeCell ref="B24:D24"/>
    <mergeCell ref="F8:M8"/>
    <mergeCell ref="B6:M6"/>
    <mergeCell ref="F17:M17"/>
    <mergeCell ref="B15:M15"/>
    <mergeCell ref="F23:M23"/>
    <mergeCell ref="F28:M28"/>
    <mergeCell ref="F22:M22"/>
    <mergeCell ref="F31:M31"/>
    <mergeCell ref="B4:M4"/>
    <mergeCell ref="B7:D7"/>
    <mergeCell ref="B16:D16"/>
    <mergeCell ref="F9:M9"/>
    <mergeCell ref="B31:D31"/>
    <mergeCell ref="B22:D22"/>
    <mergeCell ref="B18:D18"/>
    <mergeCell ref="B27:M27"/>
    <mergeCell ref="B12:D12"/>
    <mergeCell ref="B21:M21"/>
    <mergeCell ref="B2:D2"/>
  </mergeCells>
  <dataValidations count="8">
    <dataValidation sqref="F10" showDropDown="0" showInputMessage="0" showErrorMessage="0" allowBlank="0" type="list">
      <formula1>rngCurrencies</formula1>
      <formula2>0</formula2>
    </dataValidation>
    <dataValidation sqref="F11" showDropDown="0" showInputMessage="0" showErrorMessage="0" allowBlank="0" type="list">
      <formula1>rngMonths</formula1>
      <formula2>0</formula2>
    </dataValidation>
    <dataValidation sqref="F12" showDropDown="0" showInputMessage="0" showErrorMessage="0" allowBlank="0" type="list">
      <formula1>rngTimeZones</formula1>
      <formula2>0</formula2>
    </dataValidation>
    <dataValidation sqref="F16" showDropDown="0" showInputMessage="0" showErrorMessage="0" allowBlank="0" type="list">
      <formula1>rngThemes</formula1>
      <formula2>0</formula2>
    </dataValidation>
    <dataValidation sqref="F22" showDropDown="0" showInputMessage="0" showErrorMessage="0" allowBlank="0" type="list">
      <formula1>rngDateFormats</formula1>
      <formula2>0</formula2>
    </dataValidation>
    <dataValidation sqref="F23" showDropDown="0" showInputMessage="0" showErrorMessage="0" allowBlank="0" type="list">
      <formula1>rngWeekStart</formula1>
      <formula2>0</formula2>
    </dataValidation>
    <dataValidation sqref="F24" showDropDown="0" showInputMessage="0" showErrorMessage="0" allowBlank="0" type="list">
      <formula1>rngNumberFormats</formula1>
      <formula2>0</formula2>
    </dataValidation>
    <dataValidation sqref="F9" showDropDown="0" showInputMessage="0" showErrorMessage="0" allowBlank="0" type="list">
      <formula1>rngBusinessTypes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showRowColHeaders="0" tabSelected="1" zoomScale="78" zoomScaleNormal="100" workbookViewId="0">
      <selection activeCell="Q21" sqref="Q21"/>
    </sheetView>
  </sheetViews>
  <sheetFormatPr baseColWidth="8" defaultColWidth="16.7109375" defaultRowHeight="15"/>
  <cols>
    <col width="3.42578125" customWidth="1" style="37" min="1" max="1"/>
    <col width="12.7109375" customWidth="1" style="37" min="2" max="2"/>
    <col width="9.85546875" bestFit="1" customWidth="1" style="37" min="3" max="3"/>
    <col width="12.7109375" customWidth="1" style="37" min="4" max="4"/>
    <col width="7.42578125" bestFit="1" customWidth="1" style="37" min="5" max="5"/>
    <col width="7.85546875" bestFit="1" customWidth="1" style="37" min="6" max="6"/>
    <col width="44.85546875" bestFit="1" customWidth="1" style="37" min="7" max="7"/>
    <col width="11.140625" bestFit="1" customWidth="1" style="37" min="8" max="8"/>
    <col width="9.140625" bestFit="1" customWidth="1" style="37" min="9" max="9"/>
    <col width="15.5703125" bestFit="1" customWidth="1" style="37" min="10" max="10"/>
    <col width="12.28515625" bestFit="1" customWidth="1" style="37" min="11" max="11"/>
    <col width="11.140625" bestFit="1" customWidth="1" style="37" min="12" max="12"/>
    <col width="18.5703125" bestFit="1" customWidth="1" style="37" min="13" max="13"/>
    <col width="11.7109375" bestFit="1" customWidth="1" style="37" min="14" max="14"/>
    <col width="17.42578125" bestFit="1" customWidth="1" style="37" min="15" max="15"/>
  </cols>
  <sheetData>
    <row r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18" customHeight="1" s="37">
      <c r="A2" s="15" t="n"/>
      <c r="B2" s="77">
        <f>CurrentBusinessName</f>
        <v/>
      </c>
      <c r="C2" s="78" t="n"/>
      <c r="D2" s="78" t="n"/>
      <c r="E2" s="15" t="n"/>
      <c r="F2" s="17" t="inlineStr">
        <is>
          <t>Home</t>
        </is>
      </c>
      <c r="G2" s="16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5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27.75" customHeight="1" s="37">
      <c r="A4" s="14" t="n"/>
      <c r="B4" s="11" t="inlineStr">
        <is>
          <t>Quick Add</t>
        </is>
      </c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23.25" customHeight="1" s="37">
      <c r="A6" s="14" t="n"/>
      <c r="B6" s="5" t="inlineStr">
        <is>
          <t>What happened?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3" t="inlineStr">
        <is>
          <t>Date</t>
        </is>
      </c>
      <c r="E7" s="23" t="n"/>
      <c r="F7" s="91">
        <f>TODAY()</f>
        <v/>
      </c>
      <c r="G7" s="85" t="n"/>
      <c r="H7" s="85" t="n"/>
      <c r="I7" s="85" t="n"/>
      <c r="J7" s="85" t="n"/>
      <c r="K7" s="85" t="n"/>
      <c r="L7" s="85" t="n"/>
      <c r="M7" s="86" t="n"/>
      <c r="N7" s="14" t="n"/>
      <c r="O7" s="14" t="n"/>
    </row>
    <row r="8" ht="18" customHeight="1" s="37">
      <c r="A8" s="14" t="n"/>
      <c r="B8" s="3" t="inlineStr">
        <is>
          <t>Money direction</t>
        </is>
      </c>
      <c r="E8" s="23" t="n"/>
      <c r="F8" s="2" t="inlineStr">
        <is>
          <t>In</t>
        </is>
      </c>
      <c r="G8" s="85" t="n"/>
      <c r="H8" s="85" t="n"/>
      <c r="I8" s="85" t="n"/>
      <c r="J8" s="85" t="n"/>
      <c r="K8" s="85" t="n"/>
      <c r="L8" s="85" t="n"/>
      <c r="M8" s="86" t="n"/>
      <c r="N8" s="14" t="n"/>
      <c r="O8" s="14" t="n"/>
    </row>
    <row r="9" ht="18" customHeight="1" s="37">
      <c r="A9" s="14" t="n"/>
      <c r="B9" s="3" t="inlineStr">
        <is>
          <t>Amount</t>
        </is>
      </c>
      <c r="E9" s="23" t="n"/>
      <c r="F9" s="92" t="n">
        <v>850</v>
      </c>
      <c r="G9" s="85" t="n"/>
      <c r="H9" s="85" t="n"/>
      <c r="I9" s="85" t="n"/>
      <c r="J9" s="85" t="n"/>
      <c r="K9" s="85" t="n"/>
      <c r="L9" s="85" t="n"/>
      <c r="M9" s="86" t="n"/>
      <c r="N9" s="14" t="n"/>
      <c r="O9" s="14" t="n"/>
    </row>
    <row r="10" ht="18" customHeight="1" s="37">
      <c r="A10" s="14" t="n"/>
      <c r="B10" s="3" t="inlineStr">
        <is>
          <t>Category</t>
        </is>
      </c>
      <c r="E10" s="23" t="n"/>
      <c r="F10" s="2" t="inlineStr">
        <is>
          <t>Other income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  <c r="O10" s="14" t="n"/>
    </row>
    <row r="11" ht="18" customHeight="1" s="37">
      <c r="A11" s="14" t="n"/>
      <c r="B11" s="3" t="inlineStr">
        <is>
          <t>Vendor / client</t>
        </is>
      </c>
      <c r="E11" s="23" t="n"/>
      <c r="F11" s="2" t="inlineStr">
        <is>
          <t>Blue Harbor Cafe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  <c r="O11" s="14" t="n"/>
    </row>
    <row r="12" ht="18" customHeight="1" s="37">
      <c r="A12" s="14" t="n"/>
      <c r="B12" s="3" t="inlineStr">
        <is>
          <t>Description</t>
        </is>
      </c>
      <c r="E12" s="23" t="n"/>
      <c r="F12" s="2" t="inlineStr">
        <is>
          <t>Website design deposit</t>
        </is>
      </c>
      <c r="G12" s="85" t="n"/>
      <c r="H12" s="85" t="n"/>
      <c r="I12" s="85" t="n"/>
      <c r="J12" s="85" t="n"/>
      <c r="K12" s="85" t="n"/>
      <c r="L12" s="85" t="n"/>
      <c r="M12" s="86" t="n"/>
      <c r="N12" s="14" t="n"/>
      <c r="O12" s="14" t="n"/>
    </row>
    <row r="13" ht="18" customHeight="1" s="37">
      <c r="A13" s="14" t="n"/>
      <c r="B13" s="3" t="inlineStr">
        <is>
          <t>Notes (optional)</t>
        </is>
      </c>
      <c r="E13" s="23" t="n"/>
      <c r="F13" s="2" t="inlineStr">
        <is>
          <t>50% upfront payment</t>
        </is>
      </c>
      <c r="G13" s="85" t="n"/>
      <c r="H13" s="85" t="n"/>
      <c r="I13" s="85" t="n"/>
      <c r="J13" s="85" t="n"/>
      <c r="K13" s="85" t="n"/>
      <c r="L13" s="85" t="n"/>
      <c r="M13" s="86" t="n"/>
      <c r="N13" s="14" t="n"/>
      <c r="O13" s="14" t="n"/>
    </row>
    <row r="14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23.25" customHeight="1" s="37">
      <c r="A16" s="14" t="n"/>
      <c r="B16" s="64" t="inlineStr">
        <is>
          <t>Ready to save</t>
        </is>
      </c>
    </row>
    <row r="17">
      <c r="A17" s="14" t="n"/>
      <c r="B17" s="65" t="inlineStr">
        <is>
          <t>This part is a manual step for now: select the row below, copy it, then paste it (as values) into the first empty row of your Transactions log. A future version may remove this step. See the developer notes for why this is required today.</t>
        </is>
      </c>
    </row>
    <row r="18">
      <c r="A18" s="14" t="n"/>
      <c r="B18" s="27" t="inlineStr">
        <is>
          <t>TransactionID</t>
        </is>
      </c>
      <c r="C18" s="27" t="inlineStr">
        <is>
          <t>Date</t>
        </is>
      </c>
      <c r="D18" s="27" t="inlineStr">
        <is>
          <t>Direction</t>
        </is>
      </c>
      <c r="E18" s="27" t="inlineStr">
        <is>
          <t>Amount</t>
        </is>
      </c>
      <c r="F18" s="27" t="inlineStr">
        <is>
          <t>CategoryID</t>
        </is>
      </c>
      <c r="G18" s="27" t="inlineStr">
        <is>
          <t>Description</t>
        </is>
      </c>
      <c r="H18" s="27" t="inlineStr">
        <is>
          <t>CustomerID</t>
        </is>
      </c>
      <c r="I18" s="27" t="inlineStr">
        <is>
          <t>VendorID</t>
        </is>
      </c>
      <c r="J18" s="27" t="inlineStr">
        <is>
          <t>RelatedInvoiceID</t>
        </is>
      </c>
      <c r="K18" s="27" t="inlineStr">
        <is>
          <t>RelatedBillID</t>
        </is>
      </c>
      <c r="L18" s="27" t="inlineStr">
        <is>
          <t>IsRecurring</t>
        </is>
      </c>
      <c r="M18" s="27" t="inlineStr">
        <is>
          <t>RecurrenceSourceID</t>
        </is>
      </c>
      <c r="N18" s="27" t="inlineStr">
        <is>
          <t>EntryMethod</t>
        </is>
      </c>
      <c r="O18" s="27" t="inlineStr">
        <is>
          <t>CreatedTimestamp</t>
        </is>
      </c>
    </row>
    <row r="19">
      <c r="A19" s="14" t="n"/>
      <c r="B19" s="31">
        <f t="array" ref="B19">"TXN-"&amp;TEXT(MAX(IFERROR(VALUE(MID(tbl_Transactions[TransactionID],5,10)),0))+1,"000000")</f>
        <v/>
      </c>
      <c r="C19" s="93">
        <f>F7</f>
        <v/>
      </c>
      <c r="D19" s="94">
        <f>IF(F8="","",F8)</f>
        <v/>
      </c>
      <c r="E19" s="94">
        <f>F9</f>
        <v/>
      </c>
      <c r="F19" s="31">
        <f>IFERROR(INDEX(tbl_Categories[CategoryID],MATCH(F10,tbl_Categories[CategoryName],0)),"")</f>
        <v/>
      </c>
      <c r="G19" s="31">
        <f>IF(F13="",F12,F12&amp;" -- Notes: "&amp;F13)</f>
        <v/>
      </c>
      <c r="H19" s="31">
        <f>IFERROR(INDEX(tbl_Customers[CustomerID],MATCH(F11,tbl_Customers[CustomerName],0)),"")</f>
        <v/>
      </c>
      <c r="I19" s="31">
        <f>IFERROR(INDEX(tbl_Vendors[VendorID],MATCH(F11,tbl_Vendors[VendorName],0)),"")</f>
        <v/>
      </c>
      <c r="J19" s="31" t="n"/>
      <c r="K19" s="31" t="n"/>
      <c r="L19" s="31">
        <f>FALSE()</f>
        <v/>
      </c>
      <c r="M19" s="31" t="n"/>
      <c r="N19" s="31" t="inlineStr">
        <is>
          <t>QuickAdd</t>
        </is>
      </c>
      <c r="O19" s="95">
        <f>NOW()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</sheetData>
  <mergeCells count="19">
    <mergeCell ref="B11:D11"/>
    <mergeCell ref="F11:M11"/>
    <mergeCell ref="B8:D8"/>
    <mergeCell ref="B16:O16"/>
    <mergeCell ref="F10:M10"/>
    <mergeCell ref="B13:D13"/>
    <mergeCell ref="F7:M7"/>
    <mergeCell ref="B10:D10"/>
    <mergeCell ref="F12:M12"/>
    <mergeCell ref="B9:D9"/>
    <mergeCell ref="B17:O17"/>
    <mergeCell ref="F8:M8"/>
    <mergeCell ref="B6:M6"/>
    <mergeCell ref="F13:M13"/>
    <mergeCell ref="B7:D7"/>
    <mergeCell ref="B4:M4"/>
    <mergeCell ref="F9:M9"/>
    <mergeCell ref="B12:D12"/>
    <mergeCell ref="B2:D2"/>
  </mergeCells>
  <dataValidations count="7">
    <dataValidation sqref="F7" showDropDown="0" showInputMessage="0" showErrorMessage="0" allowBlank="1" type="date" operator="greaterThan">
      <formula1>DATE(1999,12,31)</formula1>
      <formula2>0</formula2>
    </dataValidation>
    <dataValidation sqref="F8" showDropDown="0" showInputMessage="0" showErrorMessage="1" allowBlank="1" type="list">
      <formula1>rngTransactionDirection</formula1>
      <formula2>0</formula2>
    </dataValidation>
    <dataValidation sqref="F9" showDropDown="0" showInputMessage="0" showErrorMessage="0" allowBlank="1" type="decimal" operator="greaterThan">
      <formula1>0</formula1>
      <formula2>0</formula2>
    </dataValidation>
    <dataValidation sqref="F10" showDropDown="0" showInputMessage="0" showErrorMessage="1" allowBlank="1" type="list">
      <formula1>CategoryNameList</formula1>
      <formula2>0</formula2>
    </dataValidation>
    <dataValidation sqref="F11" showDropDown="0" showInputMessage="0" showErrorMessage="0" allowBlank="1" type="list" errorStyle="information">
      <formula1>PayeeNameList</formula1>
      <formula2>0</formula2>
    </dataValidation>
    <dataValidation sqref="F12" showDropDown="0" showInputMessage="0" showErrorMessage="0" allowBlank="1" type="textLength" operator="lessThanOrEqual">
      <formula1>100</formula1>
      <formula2>0</formula2>
    </dataValidation>
    <dataValidation sqref="F13" showDropDown="0" showInputMessage="0" showErrorMessage="0" allowBlank="1" type="textLength" operator="lessThanOrEqual">
      <formula1>200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showRowColHeaders="0" zoomScale="71" zoomScaleNormal="80" workbookViewId="0">
      <selection activeCell="W20" sqref="W20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6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Bills &amp; Subscriptions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Upcoming &amp; overdue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Vendor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IFERROR(INDEX(tbl_Vendors[VendorName],MATCH(INDEX(tbl_Bills[VendorID],1),tbl_Vendors[VendorID],0)),"")</f>
        <v/>
      </c>
      <c r="E8" s="23" t="n"/>
      <c r="F8" s="96">
        <f>IFERROR(INDEX(tbl_Bills[Amount],1),"")</f>
        <v/>
      </c>
      <c r="H8" s="97">
        <f>IFERROR(INDEX(tbl_Bills[DueDate],1),"")</f>
        <v/>
      </c>
      <c r="K8" s="72">
        <f>IFERROR(IF(INDEX(tbl_Bills[Status],1)="Paid","Paid",IF(INDEX(tbl_Bills[DueDate],1)="","",IF(INDEX(tbl_Bills[DueDate],1)&lt;TODAY(),"Overdue","Upcoming"))),"")</f>
        <v/>
      </c>
      <c r="M8" s="83" t="n"/>
      <c r="N8" s="14" t="n"/>
      <c r="O8" s="14" t="n"/>
    </row>
    <row r="9" ht="18" customHeight="1" s="37">
      <c r="A9" s="14" t="n"/>
      <c r="B9" s="69">
        <f>IFERROR(INDEX(tbl_Vendors[VendorName],MATCH(INDEX(tbl_Bills[VendorID],2),tbl_Vendors[VendorID],0)),"")</f>
        <v/>
      </c>
      <c r="E9" s="23" t="n"/>
      <c r="F9" s="96">
        <f>IFERROR(INDEX(tbl_Bills[Amount],2),"")</f>
        <v/>
      </c>
      <c r="H9" s="97">
        <f>IFERROR(INDEX(tbl_Bills[DueDate],2),"")</f>
        <v/>
      </c>
      <c r="K9" s="72">
        <f>IFERROR(IF(INDEX(tbl_Bills[Status],2)="Paid","Paid",IF(INDEX(tbl_Bills[DueDate],2)="","",IF(INDEX(tbl_Bills[DueDate],2)&lt;TODAY(),"Overdue","Upcoming"))),"")</f>
        <v/>
      </c>
      <c r="M9" s="83" t="n"/>
      <c r="N9" s="14" t="n"/>
      <c r="O9" s="14" t="n"/>
    </row>
    <row r="10" ht="18" customHeight="1" s="37">
      <c r="A10" s="14" t="n"/>
      <c r="B10" s="69">
        <f>IFERROR(INDEX(tbl_Vendors[VendorName],MATCH(INDEX(tbl_Bills[VendorID],3),tbl_Vendors[VendorID],0)),"")</f>
        <v/>
      </c>
      <c r="E10" s="23" t="n"/>
      <c r="F10" s="96">
        <f>IFERROR(INDEX(tbl_Bills[Amount],3),"")</f>
        <v/>
      </c>
      <c r="H10" s="97">
        <f>IFERROR(INDEX(tbl_Bills[DueDate],3),"")</f>
        <v/>
      </c>
      <c r="K10" s="72">
        <f>IFERROR(IF(INDEX(tbl_Bills[Status],3)="Paid","Paid",IF(INDEX(tbl_Bills[DueDate],3)="","",IF(INDEX(tbl_Bills[DueDate],3)&lt;TODAY(),"Overdue","Upcoming"))),"")</f>
        <v/>
      </c>
      <c r="M10" s="83" t="n"/>
      <c r="N10" s="14" t="n"/>
      <c r="O10" s="14" t="n"/>
    </row>
    <row r="11" ht="18" customHeight="1" s="37">
      <c r="A11" s="14" t="n"/>
      <c r="B11" s="69">
        <f>IFERROR(INDEX(tbl_Vendors[VendorName],MATCH(INDEX(tbl_Bills[VendorID],4),tbl_Vendors[VendorID],0)),"")</f>
        <v/>
      </c>
      <c r="E11" s="23" t="n"/>
      <c r="F11" s="96">
        <f>IFERROR(INDEX(tbl_Bills[Amount],4),"")</f>
        <v/>
      </c>
      <c r="H11" s="97">
        <f>IFERROR(INDEX(tbl_Bills[DueDate],4),"")</f>
        <v/>
      </c>
      <c r="K11" s="72">
        <f>IFERROR(IF(INDEX(tbl_Bills[Status],4)="Paid","Paid",IF(INDEX(tbl_Bills[DueDate],4)="","",IF(INDEX(tbl_Bills[DueDate],4)&lt;TODAY(),"Overdue","Upcoming"))),"")</f>
        <v/>
      </c>
      <c r="M11" s="83" t="n"/>
      <c r="N11" s="14" t="n"/>
      <c r="O11" s="14" t="n"/>
    </row>
    <row r="12" ht="18" customHeight="1" s="37">
      <c r="A12" s="14" t="n"/>
      <c r="B12" s="69">
        <f>IFERROR(INDEX(tbl_Vendors[VendorName],MATCH(INDEX(tbl_Bills[VendorID],5),tbl_Vendors[VendorID],0)),"")</f>
        <v/>
      </c>
      <c r="E12" s="23" t="n"/>
      <c r="F12" s="96">
        <f>IFERROR(INDEX(tbl_Bills[Amount],5),"")</f>
        <v/>
      </c>
      <c r="H12" s="97">
        <f>IFERROR(INDEX(tbl_Bills[DueDate],5),"")</f>
        <v/>
      </c>
      <c r="K12" s="72">
        <f>IFERROR(IF(INDEX(tbl_Bills[Status],5)="Paid","Paid",IF(INDEX(tbl_Bills[DueDate],5)="","",IF(INDEX(tbl_Bills[DueDate],5)&lt;TODAY(),"Overdue","Upcoming"))),"")</f>
        <v/>
      </c>
      <c r="M12" s="83" t="n"/>
      <c r="N12" s="14" t="n"/>
      <c r="O12" s="14" t="n"/>
    </row>
    <row r="13" ht="18" customHeight="1" s="37">
      <c r="A13" s="14" t="n"/>
      <c r="B13" s="69">
        <f>IFERROR(INDEX(tbl_Vendors[VendorName],MATCH(INDEX(tbl_Bills[VendorID],6),tbl_Vendors[VendorID],0)),"")</f>
        <v/>
      </c>
      <c r="E13" s="23" t="n"/>
      <c r="F13" s="96">
        <f>IFERROR(INDEX(tbl_Bills[Amount],6),"")</f>
        <v/>
      </c>
      <c r="H13" s="97">
        <f>IFERROR(INDEX(tbl_Bills[DueDate],6),"")</f>
        <v/>
      </c>
      <c r="K13" s="72">
        <f>IFERROR(IF(INDEX(tbl_Bills[Status],6)="Paid","Paid",IF(INDEX(tbl_Bills[DueDate],6)="","",IF(INDEX(tbl_Bills[DueDate],6)&lt;TODAY(),"Overdue","Upcoming"))),"")</f>
        <v/>
      </c>
      <c r="M13" s="83" t="n"/>
      <c r="N13" s="14" t="n"/>
      <c r="O13" s="14" t="n"/>
    </row>
    <row r="14" ht="18" customHeight="1" s="37">
      <c r="A14" s="14" t="n"/>
      <c r="B14" s="69">
        <f>IFERROR(INDEX(tbl_Vendors[VendorName],MATCH(INDEX(tbl_Bills[VendorID],7),tbl_Vendors[VendorID],0)),"")</f>
        <v/>
      </c>
      <c r="E14" s="23" t="n"/>
      <c r="F14" s="96">
        <f>IFERROR(INDEX(tbl_Bills[Amount],7),"")</f>
        <v/>
      </c>
      <c r="H14" s="97">
        <f>IFERROR(INDEX(tbl_Bills[DueDate],7),"")</f>
        <v/>
      </c>
      <c r="K14" s="72">
        <f>IFERROR(IF(INDEX(tbl_Bills[Status],7)="Paid","Paid",IF(INDEX(tbl_Bills[DueDate],7)="","",IF(INDEX(tbl_Bills[DueDate],7)&lt;TODAY(),"Overdue","Upcoming"))),"")</f>
        <v/>
      </c>
      <c r="M14" s="83" t="n"/>
      <c r="N14" s="14" t="n"/>
      <c r="O14" s="14" t="n"/>
    </row>
    <row r="15" ht="18" customHeight="1" s="37">
      <c r="A15" s="14" t="n"/>
      <c r="B15" s="69">
        <f>IFERROR(INDEX(tbl_Vendors[VendorName],MATCH(INDEX(tbl_Bills[VendorID],8),tbl_Vendors[VendorID],0)),"")</f>
        <v/>
      </c>
      <c r="E15" s="23" t="n"/>
      <c r="F15" s="96">
        <f>IFERROR(INDEX(tbl_Bills[Amount],8),"")</f>
        <v/>
      </c>
      <c r="H15" s="97">
        <f>IFERROR(INDEX(tbl_Bills[DueDate],8),"")</f>
        <v/>
      </c>
      <c r="K15" s="72">
        <f>IFERROR(IF(INDEX(tbl_Bills[Status],8)="Paid","Paid",IF(INDEX(tbl_Bills[DueDate],8)="","",IF(INDEX(tbl_Bills[DueDate],8)&lt;TODAY(),"Overdue","Upcoming"))),"")</f>
        <v/>
      </c>
      <c r="M15" s="83" t="n"/>
      <c r="N15" s="14" t="n"/>
      <c r="O15" s="14" t="n"/>
    </row>
    <row r="16" ht="18" customHeight="1" s="37">
      <c r="A16" s="14" t="n"/>
      <c r="B16" s="69">
        <f>IFERROR(INDEX(tbl_Vendors[VendorName],MATCH(INDEX(tbl_Bills[VendorID],9),tbl_Vendors[VendorID],0)),"")</f>
        <v/>
      </c>
      <c r="E16" s="23" t="n"/>
      <c r="F16" s="96">
        <f>IFERROR(INDEX(tbl_Bills[Amount],9),"")</f>
        <v/>
      </c>
      <c r="H16" s="97">
        <f>IFERROR(INDEX(tbl_Bills[DueDate],9),"")</f>
        <v/>
      </c>
      <c r="K16" s="72">
        <f>IFERROR(IF(INDEX(tbl_Bills[Status],9)="Paid","Paid",IF(INDEX(tbl_Bills[DueDate],9)="","",IF(INDEX(tbl_Bills[DueDate],9)&lt;TODAY(),"Overdue","Upcoming"))),"")</f>
        <v/>
      </c>
      <c r="M16" s="83" t="n"/>
      <c r="N16" s="14" t="n"/>
      <c r="O16" s="14" t="n"/>
    </row>
    <row r="17" ht="18" customHeight="1" s="37">
      <c r="A17" s="14" t="n"/>
      <c r="B17" s="69">
        <f>IFERROR(INDEX(tbl_Vendors[VendorName],MATCH(INDEX(tbl_Bills[VendorID],10),tbl_Vendors[VendorID],0)),"")</f>
        <v/>
      </c>
      <c r="E17" s="23" t="n"/>
      <c r="F17" s="96">
        <f>IFERROR(INDEX(tbl_Bills[Amount],10),"")</f>
        <v/>
      </c>
      <c r="H17" s="97">
        <f>IFERROR(INDEX(tbl_Bills[DueDate],10),"")</f>
        <v/>
      </c>
      <c r="K17" s="72">
        <f>IFERROR(IF(INDEX(tbl_Bills[Status],10)="Paid","Paid",IF(INDEX(tbl_Bills[DueDate],10)="","",IF(INDEX(tbl_Bills[DueDate],10)&lt;TODAY(),"Overdue","Upcoming"))),"")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 bill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Vendor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3" t="inlineStr">
        <is>
          <t>Recurring?</t>
        </is>
      </c>
      <c r="E24" s="23" t="n"/>
      <c r="F24" s="2" t="n"/>
      <c r="G24" s="85" t="n"/>
      <c r="H24" s="85" t="n"/>
      <c r="I24" s="85" t="n"/>
      <c r="J24" s="85" t="n"/>
      <c r="K24" s="85" t="n"/>
      <c r="L24" s="85" t="n"/>
      <c r="M24" s="86" t="n"/>
      <c r="N24" s="14" t="n"/>
      <c r="O24" s="14" t="n"/>
    </row>
    <row r="25" ht="21.75" customHeight="1" s="37">
      <c r="A25" s="14" t="n"/>
      <c r="B25" s="3" t="inlineStr">
        <is>
          <t>Recurrence frequency</t>
        </is>
      </c>
      <c r="E25" s="23" t="n"/>
      <c r="F25" s="2" t="n"/>
      <c r="G25" s="85" t="n"/>
      <c r="H25" s="85" t="n"/>
      <c r="I25" s="85" t="n"/>
      <c r="J25" s="85" t="n"/>
      <c r="K25" s="85" t="n"/>
      <c r="L25" s="85" t="n"/>
      <c r="M25" s="86" t="n"/>
      <c r="N25" s="14" t="n"/>
      <c r="O25" s="14" t="n"/>
    </row>
    <row r="26" ht="21.75" customHeight="1" s="37">
      <c r="A26" s="14" t="n"/>
      <c r="B26" s="3" t="inlineStr">
        <is>
          <t>Notes (optional)</t>
        </is>
      </c>
      <c r="E26" s="23" t="n"/>
      <c r="F26" s="2" t="n"/>
      <c r="G26" s="85" t="n"/>
      <c r="H26" s="85" t="n"/>
      <c r="I26" s="85" t="n"/>
      <c r="J26" s="85" t="n"/>
      <c r="K26" s="85" t="n"/>
      <c r="L26" s="85" t="n"/>
      <c r="M26" s="86" t="n"/>
      <c r="N26" s="14" t="n"/>
      <c r="O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  <c r="O27" s="14" t="n"/>
    </row>
    <row r="28" ht="24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 ht="19.5" customHeight="1" s="37">
      <c r="A29" s="14" t="n"/>
      <c r="B29" s="64" t="inlineStr">
        <is>
          <t>Ready to save</t>
        </is>
      </c>
      <c r="N29" s="14" t="n"/>
      <c r="O29" s="14" t="n"/>
    </row>
    <row r="30" ht="33.75" customHeight="1" s="37">
      <c r="A30" s="14" t="n"/>
      <c r="B30" s="65" t="inlineStr">
        <is>
          <t>Same manual step as Quick Add: select the row below, copy it, then paste it (as values) into the first empty row of your Bills table.</t>
        </is>
      </c>
      <c r="N30" s="14" t="n"/>
      <c r="O30" s="14" t="n"/>
    </row>
    <row r="31" ht="19.5" customHeight="1" s="37">
      <c r="A31" s="14" t="n"/>
      <c r="B31" s="27" t="inlineStr">
        <is>
          <t>BillID</t>
        </is>
      </c>
      <c r="C31" s="27" t="inlineStr">
        <is>
          <t>VendorID</t>
        </is>
      </c>
      <c r="D31" s="27" t="inlineStr">
        <is>
          <t>Amount</t>
        </is>
      </c>
      <c r="E31" s="27" t="inlineStr">
        <is>
          <t>DueDate</t>
        </is>
      </c>
      <c r="F31" s="27" t="inlineStr">
        <is>
          <t>IsRecurring</t>
        </is>
      </c>
      <c r="G31" s="27" t="inlineStr">
        <is>
          <t>RecurrenceFrequency</t>
        </is>
      </c>
      <c r="H31" s="27" t="inlineStr">
        <is>
          <t>Status</t>
        </is>
      </c>
      <c r="I31" s="27" t="inlineStr">
        <is>
          <t>LinkedTransactionID</t>
        </is>
      </c>
      <c r="J31" s="27" t="inlineStr">
        <is>
          <t>Notes</t>
        </is>
      </c>
      <c r="K31" s="33" t="n"/>
      <c r="L31" s="33" t="n"/>
      <c r="M31" s="33" t="n"/>
      <c r="N31" s="14" t="n"/>
      <c r="O31" s="14" t="n"/>
    </row>
    <row r="32" ht="19.5" customHeight="1" s="37">
      <c r="A32" s="14" t="n"/>
      <c r="B32" s="31">
        <f t="array" ref="B32">"BILL-"&amp;TEXT(MAX(IFERROR(VALUE(MID(tbl_Bills[BillID],6,10)),0))+1,"0000")</f>
        <v/>
      </c>
      <c r="C32" s="31">
        <f>IFERROR(INDEX(tbl_Vendors[VendorID],MATCH(F21,tbl_Vendors[VendorName],0)),"")</f>
        <v/>
      </c>
      <c r="D32" s="94">
        <f>F22</f>
        <v/>
      </c>
      <c r="E32" s="93">
        <f>F23</f>
        <v/>
      </c>
      <c r="F32" s="31">
        <f>F24</f>
        <v/>
      </c>
      <c r="G32" s="31">
        <f>F25</f>
        <v/>
      </c>
      <c r="H32" s="31">
        <f>IF(F23="","",IF(F23&lt;TODAY(),"Overdue","Upcoming"))</f>
        <v/>
      </c>
      <c r="I32" s="31" t="n"/>
      <c r="J32" s="31">
        <f>F26</f>
        <v/>
      </c>
      <c r="K32" s="33" t="n"/>
      <c r="L32" s="33" t="n"/>
      <c r="M32" s="33" t="n"/>
      <c r="N32" s="14" t="n"/>
      <c r="O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62">
    <mergeCell ref="B11:D11"/>
    <mergeCell ref="F11:G11"/>
    <mergeCell ref="B14:D14"/>
    <mergeCell ref="B23:D23"/>
    <mergeCell ref="F16:G16"/>
    <mergeCell ref="F10:G10"/>
    <mergeCell ref="B8:D8"/>
    <mergeCell ref="F25:M25"/>
    <mergeCell ref="B17:D17"/>
    <mergeCell ref="B13:D13"/>
    <mergeCell ref="K12:M12"/>
    <mergeCell ref="H17:J17"/>
    <mergeCell ref="H11:J11"/>
    <mergeCell ref="B29:M29"/>
    <mergeCell ref="H7:J7"/>
    <mergeCell ref="F7:G7"/>
    <mergeCell ref="B10:D10"/>
    <mergeCell ref="H16:J16"/>
    <mergeCell ref="K8:M8"/>
    <mergeCell ref="F12:G12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B30:M30"/>
    <mergeCell ref="B24:D24"/>
    <mergeCell ref="F17:G17"/>
    <mergeCell ref="K7:M7"/>
    <mergeCell ref="F8:G8"/>
    <mergeCell ref="H15:J15"/>
    <mergeCell ref="F26:M26"/>
    <mergeCell ref="B6:M6"/>
    <mergeCell ref="K10:M10"/>
    <mergeCell ref="H14:J14"/>
    <mergeCell ref="B20:M20"/>
    <mergeCell ref="K13:M13"/>
    <mergeCell ref="F23:M23"/>
    <mergeCell ref="B26:D26"/>
    <mergeCell ref="H8:J8"/>
    <mergeCell ref="F22:M22"/>
    <mergeCell ref="K11:M11"/>
    <mergeCell ref="F13:G13"/>
    <mergeCell ref="K16:M16"/>
    <mergeCell ref="B25:D25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F14:G14"/>
    <mergeCell ref="H9:J9"/>
    <mergeCell ref="B12:D12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dataValidations count="5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VendorNameList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  <dataValidation sqref="F24" showDropDown="0" showInputMessage="0" showErrorMessage="1" allowBlank="1" type="list">
      <formula1>rngBooleanChoice</formula1>
      <formula2>0</formula2>
    </dataValidation>
    <dataValidation sqref="F25" showDropDown="0" showInputMessage="0" showErrorMessage="1" allowBlank="1" type="list">
      <formula1>rngRecurrenceFrequencies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showRowColHeaders="0" topLeftCell="A2" zoomScale="77" zoomScaleNormal="100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6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Clients &amp; Invoices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Invoices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Client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IFERROR(INDEX(tbl_Customers[CustomerName],MATCH(INDEX(tbl_Invoices[CustomerID],1),tbl_Customers[CustomerID],0)),"")</f>
        <v/>
      </c>
      <c r="E8" s="23" t="n"/>
      <c r="F8" s="96">
        <f>IFERROR(INDEX(tbl_Invoices[Amount],1),"")</f>
        <v/>
      </c>
      <c r="H8" s="97">
        <f>IFERROR(INDEX(tbl_Invoices[DueDate],1),"")</f>
        <v/>
      </c>
      <c r="K8" s="72">
        <f>IFERROR(IF(OR(INDEX(tbl_Invoices[Status],1)="Paid",INDEX(tbl_Invoices[Status],1)="Void",INDEX(tbl_Invoices[Status],1)="Draft"),INDEX(tbl_Invoices[Status],1),IF(INDEX(tbl_Invoices[DueDate],1)="","",IF(INDEX(tbl_Invoices[DueDate],1)&lt;TODAY(),"Overdue","Sent"))),"")</f>
        <v/>
      </c>
      <c r="M8" s="83" t="n"/>
      <c r="N8" s="14" t="n"/>
      <c r="O8" s="14" t="n"/>
    </row>
    <row r="9" ht="18" customHeight="1" s="37">
      <c r="A9" s="14" t="n"/>
      <c r="B9" s="69">
        <f>IFERROR(INDEX(tbl_Customers[CustomerName],MATCH(INDEX(tbl_Invoices[CustomerID],2),tbl_Customers[CustomerID],0)),"")</f>
        <v/>
      </c>
      <c r="E9" s="23" t="n"/>
      <c r="F9" s="96">
        <f>IFERROR(INDEX(tbl_Invoices[Amount],2),"")</f>
        <v/>
      </c>
      <c r="H9" s="97">
        <f>IFERROR(INDEX(tbl_Invoices[DueDate],2),"")</f>
        <v/>
      </c>
      <c r="K9" s="72">
        <f>IFERROR(IF(OR(INDEX(tbl_Invoices[Status],2)="Paid",INDEX(tbl_Invoices[Status],2)="Void",INDEX(tbl_Invoices[Status],2)="Draft"),INDEX(tbl_Invoices[Status],2),IF(INDEX(tbl_Invoices[DueDate],2)="","",IF(INDEX(tbl_Invoices[DueDate],2)&lt;TODAY(),"Overdue","Sent"))),"")</f>
        <v/>
      </c>
      <c r="M9" s="83" t="n"/>
      <c r="N9" s="14" t="n"/>
      <c r="O9" s="14" t="n"/>
    </row>
    <row r="10" ht="18" customHeight="1" s="37">
      <c r="A10" s="14" t="n"/>
      <c r="B10" s="69">
        <f>IFERROR(INDEX(tbl_Customers[CustomerName],MATCH(INDEX(tbl_Invoices[CustomerID],3),tbl_Customers[CustomerID],0)),"")</f>
        <v/>
      </c>
      <c r="E10" s="23" t="n"/>
      <c r="F10" s="96">
        <f>IFERROR(INDEX(tbl_Invoices[Amount],3),"")</f>
        <v/>
      </c>
      <c r="H10" s="97">
        <f>IFERROR(INDEX(tbl_Invoices[DueDate],3),"")</f>
        <v/>
      </c>
      <c r="K10" s="72">
        <f>IFERROR(IF(OR(INDEX(tbl_Invoices[Status],3)="Paid",INDEX(tbl_Invoices[Status],3)="Void",INDEX(tbl_Invoices[Status],3)="Draft"),INDEX(tbl_Invoices[Status],3),IF(INDEX(tbl_Invoices[DueDate],3)="","",IF(INDEX(tbl_Invoices[DueDate],3)&lt;TODAY(),"Overdue","Sent"))),"")</f>
        <v/>
      </c>
      <c r="M10" s="83" t="n"/>
      <c r="N10" s="14" t="n"/>
      <c r="O10" s="14" t="n"/>
    </row>
    <row r="11" ht="18" customHeight="1" s="37">
      <c r="A11" s="14" t="n"/>
      <c r="B11" s="69">
        <f>IFERROR(INDEX(tbl_Customers[CustomerName],MATCH(INDEX(tbl_Invoices[CustomerID],4),tbl_Customers[CustomerID],0)),"")</f>
        <v/>
      </c>
      <c r="E11" s="23" t="n"/>
      <c r="F11" s="96">
        <f>IFERROR(INDEX(tbl_Invoices[Amount],4),"")</f>
        <v/>
      </c>
      <c r="H11" s="97">
        <f>IFERROR(INDEX(tbl_Invoices[DueDate],4),"")</f>
        <v/>
      </c>
      <c r="K11" s="72">
        <f>IFERROR(IF(OR(INDEX(tbl_Invoices[Status],4)="Paid",INDEX(tbl_Invoices[Status],4)="Void",INDEX(tbl_Invoices[Status],4)="Draft"),INDEX(tbl_Invoices[Status],4),IF(INDEX(tbl_Invoices[DueDate],4)="","",IF(INDEX(tbl_Invoices[DueDate],4)&lt;TODAY(),"Overdue","Sent"))),"")</f>
        <v/>
      </c>
      <c r="M11" s="83" t="n"/>
      <c r="N11" s="14" t="n"/>
      <c r="O11" s="14" t="n"/>
    </row>
    <row r="12" ht="18" customHeight="1" s="37">
      <c r="A12" s="14" t="n"/>
      <c r="B12" s="69">
        <f>IFERROR(INDEX(tbl_Customers[CustomerName],MATCH(INDEX(tbl_Invoices[CustomerID],5),tbl_Customers[CustomerID],0)),"")</f>
        <v/>
      </c>
      <c r="E12" s="23" t="n"/>
      <c r="F12" s="96">
        <f>IFERROR(INDEX(tbl_Invoices[Amount],5),"")</f>
        <v/>
      </c>
      <c r="H12" s="97">
        <f>IFERROR(INDEX(tbl_Invoices[DueDate],5),"")</f>
        <v/>
      </c>
      <c r="K12" s="72">
        <f>IFERROR(IF(OR(INDEX(tbl_Invoices[Status],5)="Paid",INDEX(tbl_Invoices[Status],5)="Void",INDEX(tbl_Invoices[Status],5)="Draft"),INDEX(tbl_Invoices[Status],5),IF(INDEX(tbl_Invoices[DueDate],5)="","",IF(INDEX(tbl_Invoices[DueDate],5)&lt;TODAY(),"Overdue","Sent"))),"")</f>
        <v/>
      </c>
      <c r="M12" s="83" t="n"/>
      <c r="N12" s="14" t="n"/>
      <c r="O12" s="14" t="n"/>
    </row>
    <row r="13" ht="18" customHeight="1" s="37">
      <c r="A13" s="14" t="n"/>
      <c r="B13" s="69">
        <f>IFERROR(INDEX(tbl_Customers[CustomerName],MATCH(INDEX(tbl_Invoices[CustomerID],6),tbl_Customers[CustomerID],0)),"")</f>
        <v/>
      </c>
      <c r="E13" s="23" t="n"/>
      <c r="F13" s="96">
        <f>IFERROR(INDEX(tbl_Invoices[Amount],6),"")</f>
        <v/>
      </c>
      <c r="H13" s="97">
        <f>IFERROR(INDEX(tbl_Invoices[DueDate],6),"")</f>
        <v/>
      </c>
      <c r="K13" s="72">
        <f>IFERROR(IF(OR(INDEX(tbl_Invoices[Status],6)="Paid",INDEX(tbl_Invoices[Status],6)="Void",INDEX(tbl_Invoices[Status],6)="Draft"),INDEX(tbl_Invoices[Status],6),IF(INDEX(tbl_Invoices[DueDate],6)="","",IF(INDEX(tbl_Invoices[DueDate],6)&lt;TODAY(),"Overdue","Sent"))),"")</f>
        <v/>
      </c>
      <c r="M13" s="83" t="n"/>
      <c r="N13" s="14" t="n"/>
      <c r="O13" s="14" t="n"/>
    </row>
    <row r="14" ht="18" customHeight="1" s="37">
      <c r="A14" s="14" t="n"/>
      <c r="B14" s="69">
        <f>IFERROR(INDEX(tbl_Customers[CustomerName],MATCH(INDEX(tbl_Invoices[CustomerID],7),tbl_Customers[CustomerID],0)),"")</f>
        <v/>
      </c>
      <c r="E14" s="23" t="n"/>
      <c r="F14" s="96">
        <f>IFERROR(INDEX(tbl_Invoices[Amount],7),"")</f>
        <v/>
      </c>
      <c r="H14" s="97">
        <f>IFERROR(INDEX(tbl_Invoices[DueDate],7),"")</f>
        <v/>
      </c>
      <c r="K14" s="72">
        <f>IFERROR(IF(OR(INDEX(tbl_Invoices[Status],7)="Paid",INDEX(tbl_Invoices[Status],7)="Void",INDEX(tbl_Invoices[Status],7)="Draft"),INDEX(tbl_Invoices[Status],7),IF(INDEX(tbl_Invoices[DueDate],7)="","",IF(INDEX(tbl_Invoices[DueDate],7)&lt;TODAY(),"Overdue","Sent"))),"")</f>
        <v/>
      </c>
      <c r="M14" s="83" t="n"/>
      <c r="N14" s="14" t="n"/>
      <c r="O14" s="14" t="n"/>
    </row>
    <row r="15" ht="18" customHeight="1" s="37">
      <c r="A15" s="14" t="n"/>
      <c r="B15" s="69">
        <f>IFERROR(INDEX(tbl_Customers[CustomerName],MATCH(INDEX(tbl_Invoices[CustomerID],8),tbl_Customers[CustomerID],0)),"")</f>
        <v/>
      </c>
      <c r="E15" s="23" t="n"/>
      <c r="F15" s="96">
        <f>IFERROR(INDEX(tbl_Invoices[Amount],8),"")</f>
        <v/>
      </c>
      <c r="H15" s="97">
        <f>IFERROR(INDEX(tbl_Invoices[DueDate],8),"")</f>
        <v/>
      </c>
      <c r="K15" s="72">
        <f>IFERROR(IF(OR(INDEX(tbl_Invoices[Status],8)="Paid",INDEX(tbl_Invoices[Status],8)="Void",INDEX(tbl_Invoices[Status],8)="Draft"),INDEX(tbl_Invoices[Status],8),IF(INDEX(tbl_Invoices[DueDate],8)="","",IF(INDEX(tbl_Invoices[DueDate],8)&lt;TODAY(),"Overdue","Sent"))),"")</f>
        <v/>
      </c>
      <c r="M15" s="83" t="n"/>
      <c r="N15" s="14" t="n"/>
      <c r="O15" s="14" t="n"/>
    </row>
    <row r="16" ht="18" customHeight="1" s="37">
      <c r="A16" s="14" t="n"/>
      <c r="B16" s="69">
        <f>IFERROR(INDEX(tbl_Customers[CustomerName],MATCH(INDEX(tbl_Invoices[CustomerID],9),tbl_Customers[CustomerID],0)),"")</f>
        <v/>
      </c>
      <c r="E16" s="23" t="n"/>
      <c r="F16" s="96">
        <f>IFERROR(INDEX(tbl_Invoices[Amount],9),"")</f>
        <v/>
      </c>
      <c r="H16" s="97">
        <f>IFERROR(INDEX(tbl_Invoices[DueDate],9),"")</f>
        <v/>
      </c>
      <c r="K16" s="72">
        <f>IFERROR(IF(OR(INDEX(tbl_Invoices[Status],9)="Paid",INDEX(tbl_Invoices[Status],9)="Void",INDEX(tbl_Invoices[Status],9)="Draft"),INDEX(tbl_Invoices[Status],9),IF(INDEX(tbl_Invoices[DueDate],9)="","",IF(INDEX(tbl_Invoices[DueDate],9)&lt;TODAY(),"Overdue","Sent"))),"")</f>
        <v/>
      </c>
      <c r="M16" s="83" t="n"/>
      <c r="N16" s="14" t="n"/>
      <c r="O16" s="14" t="n"/>
    </row>
    <row r="17" ht="18" customHeight="1" s="37">
      <c r="A17" s="14" t="n"/>
      <c r="B17" s="69">
        <f>IFERROR(INDEX(tbl_Customers[CustomerName],MATCH(INDEX(tbl_Invoices[CustomerID],10),tbl_Customers[CustomerID],0)),"")</f>
        <v/>
      </c>
      <c r="E17" s="23" t="n"/>
      <c r="F17" s="96">
        <f>IFERROR(INDEX(tbl_Invoices[Amount],10),"")</f>
        <v/>
      </c>
      <c r="H17" s="97">
        <f>IFERROR(INDEX(tbl_Invoices[DueDate],10),"")</f>
        <v/>
      </c>
      <c r="K17" s="72">
        <f>IFERROR(IF(OR(INDEX(tbl_Invoices[Status],10)="Paid",INDEX(tbl_Invoices[Status],10)="Void",INDEX(tbl_Invoices[Status],10)="Draft"),INDEX(tbl_Invoices[Status],10),IF(INDEX(tbl_Invoices[DueDate],10)="","",IF(INDEX(tbl_Invoices[DueDate],10)&lt;TODAY(),"Overdue","Sent"))),"")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an invoice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Client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1" t="inlineStr">
        <is>
          <t>Notes (optional)</t>
        </is>
      </c>
      <c r="C24" s="78" t="n"/>
      <c r="D24" s="78" t="n"/>
      <c r="E24" s="15" t="n"/>
      <c r="F24" s="58" t="n"/>
      <c r="G24" s="87" t="n"/>
      <c r="H24" s="87" t="n"/>
      <c r="I24" s="87" t="n"/>
      <c r="J24" s="87" t="n"/>
      <c r="K24" s="87" t="n"/>
      <c r="L24" s="87" t="n"/>
      <c r="M24" s="88" t="n"/>
      <c r="N24" s="14" t="n"/>
      <c r="O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 ht="19.5" customHeight="1" s="37">
      <c r="A27" s="14" t="n"/>
      <c r="B27" s="64" t="inlineStr">
        <is>
          <t>Ready to save</t>
        </is>
      </c>
      <c r="N27" s="14" t="n"/>
      <c r="O27" s="14" t="n"/>
    </row>
    <row r="28" ht="33.75" customHeight="1" s="37">
      <c r="A28" s="14" t="n"/>
      <c r="B28" s="65" t="inlineStr">
        <is>
          <t>Same manual step as Quick Add and Bills: select the row below, copy it, then paste it (as values) into the first empty row of your Invoices table.</t>
        </is>
      </c>
      <c r="N28" s="14" t="n"/>
      <c r="O28" s="14" t="n"/>
    </row>
    <row r="29" ht="19.5" customHeight="1" s="37">
      <c r="A29" s="14" t="n"/>
      <c r="B29" s="27" t="inlineStr">
        <is>
          <t>InvoiceID</t>
        </is>
      </c>
      <c r="C29" s="27" t="inlineStr">
        <is>
          <t>CustomerID</t>
        </is>
      </c>
      <c r="D29" s="27" t="inlineStr">
        <is>
          <t>IssueDate</t>
        </is>
      </c>
      <c r="E29" s="27" t="inlineStr">
        <is>
          <t>DueDate</t>
        </is>
      </c>
      <c r="F29" s="27" t="inlineStr">
        <is>
          <t>Amount</t>
        </is>
      </c>
      <c r="G29" s="27" t="inlineStr">
        <is>
          <t>Status</t>
        </is>
      </c>
      <c r="H29" s="27" t="inlineStr">
        <is>
          <t>PaidDate</t>
        </is>
      </c>
      <c r="I29" s="27" t="inlineStr">
        <is>
          <t>LinkedTransactionID</t>
        </is>
      </c>
      <c r="J29" s="27" t="inlineStr">
        <is>
          <t>Notes</t>
        </is>
      </c>
      <c r="K29" s="33" t="n"/>
      <c r="L29" s="33" t="n"/>
      <c r="M29" s="33" t="n"/>
      <c r="N29" s="14" t="n"/>
      <c r="O29" s="14" t="n"/>
    </row>
    <row r="30" ht="19.5" customHeight="1" s="37">
      <c r="A30" s="14" t="n"/>
      <c r="B30" s="31">
        <f t="array" ref="B30">"INV-"&amp;TEXT(MAX(IFERROR(VALUE(MID(tbl_Invoices[InvoiceID],5,10)),0))+1,"0000")</f>
        <v/>
      </c>
      <c r="C30" s="93">
        <f>IFERROR(INDEX(tbl_Customers[CustomerID],MATCH(F21,tbl_Customers[CustomerName],0)),"")</f>
        <v/>
      </c>
      <c r="D30" s="93">
        <f>TODAY()</f>
        <v/>
      </c>
      <c r="E30" s="94">
        <f>F23</f>
        <v/>
      </c>
      <c r="F30" s="94">
        <f>F22</f>
        <v/>
      </c>
      <c r="G30" s="31">
        <f>IF(F23="","",IF(F23&lt;TODAY(),"Overdue","Sent"))</f>
        <v/>
      </c>
      <c r="H30" s="31" t="n"/>
      <c r="I30" s="31" t="n"/>
      <c r="J30" s="31">
        <f>F24</f>
        <v/>
      </c>
      <c r="K30" s="33" t="n"/>
      <c r="L30" s="33" t="n"/>
      <c r="M30" s="33" t="n"/>
      <c r="N30" s="14" t="n"/>
      <c r="O30" s="14" t="n"/>
    </row>
    <row r="31" ht="31.5" customHeight="1" s="37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58">
    <mergeCell ref="B11:D11"/>
    <mergeCell ref="F11:G11"/>
    <mergeCell ref="B14:D14"/>
    <mergeCell ref="B23:D23"/>
    <mergeCell ref="F16:G16"/>
    <mergeCell ref="F10:G10"/>
    <mergeCell ref="B8:D8"/>
    <mergeCell ref="B17:D17"/>
    <mergeCell ref="B13:D13"/>
    <mergeCell ref="K12:M12"/>
    <mergeCell ref="H17:J17"/>
    <mergeCell ref="H11:J11"/>
    <mergeCell ref="H7:J7"/>
    <mergeCell ref="F7:G7"/>
    <mergeCell ref="B10:D10"/>
    <mergeCell ref="H16:J16"/>
    <mergeCell ref="K8:M8"/>
    <mergeCell ref="F12:G12"/>
    <mergeCell ref="B28:M28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F17:G17"/>
    <mergeCell ref="B24:D24"/>
    <mergeCell ref="K7:M7"/>
    <mergeCell ref="F8:G8"/>
    <mergeCell ref="H15:J15"/>
    <mergeCell ref="B6:M6"/>
    <mergeCell ref="K10:M10"/>
    <mergeCell ref="H14:J14"/>
    <mergeCell ref="B20:M20"/>
    <mergeCell ref="K13:M13"/>
    <mergeCell ref="F23:M23"/>
    <mergeCell ref="H8:J8"/>
    <mergeCell ref="F22:M22"/>
    <mergeCell ref="K11:M11"/>
    <mergeCell ref="F13:G13"/>
    <mergeCell ref="K16:M16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B27:M27"/>
    <mergeCell ref="F14:G14"/>
    <mergeCell ref="B12:D12"/>
    <mergeCell ref="H9:J9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dataValidations count="3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CustomerNameList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showRowColHeaders="0" zoomScale="89" zoomScaleNormal="100" workbookViewId="0">
      <selection activeCell="S13" sqref="S13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6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Goals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Your goals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Goal</t>
        </is>
      </c>
      <c r="E7" s="23" t="n"/>
      <c r="F7" s="67" t="inlineStr">
        <is>
          <t>Progress</t>
        </is>
      </c>
      <c r="H7" s="67" t="inlineStr">
        <is>
          <t>Target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IFERROR(INDEX(tbl_Goals[GoalName],1),"")</f>
        <v/>
      </c>
      <c r="E8" s="23" t="n"/>
      <c r="F8" s="73">
        <f>IF(B8="","","$"&amp;TEXT(INDEX(tbl_Goals[CurrentAmount],1),"#,##0")&amp;" of $"&amp;TEXT(INDEX(tbl_Goals[TargetAmount],1),"#,##0")&amp;" ("&amp;TEXT(INDEX(tbl_Goals[CurrentAmount],1)/INDEX(tbl_Goals[TargetAmount],1),"0%")&amp;")")</f>
        <v/>
      </c>
      <c r="H8" s="97">
        <f>IFERROR(INDEX(tbl_Goals[TargetDate],1),"")</f>
        <v/>
      </c>
      <c r="K8" s="72">
        <f>IFERROR(INDEX(tbl_Goals[Status],1),"")</f>
        <v/>
      </c>
      <c r="M8" s="83" t="n"/>
      <c r="N8" s="14" t="n"/>
      <c r="O8" s="14" t="n"/>
    </row>
    <row r="9" ht="18" customHeight="1" s="37">
      <c r="A9" s="14" t="n"/>
      <c r="B9" s="69">
        <f>IFERROR(INDEX(tbl_Goals[GoalName],2),"")</f>
        <v/>
      </c>
      <c r="E9" s="23" t="n"/>
      <c r="F9" s="73">
        <f>IF(B9="","","$"&amp;TEXT(INDEX(tbl_Goals[CurrentAmount],2),"#,##0")&amp;" of $"&amp;TEXT(INDEX(tbl_Goals[TargetAmount],2),"#,##0")&amp;" ("&amp;TEXT(INDEX(tbl_Goals[CurrentAmount],2)/INDEX(tbl_Goals[TargetAmount],2),"0%")&amp;")")</f>
        <v/>
      </c>
      <c r="H9" s="97">
        <f>IFERROR(INDEX(tbl_Goals[TargetDate],2),"")</f>
        <v/>
      </c>
      <c r="K9" s="72">
        <f>IFERROR(INDEX(tbl_Goals[Status],2),"")</f>
        <v/>
      </c>
      <c r="M9" s="83" t="n"/>
      <c r="N9" s="14" t="n"/>
      <c r="O9" s="14" t="n"/>
    </row>
    <row r="10" ht="18" customHeight="1" s="37">
      <c r="A10" s="14" t="n"/>
      <c r="B10" s="69">
        <f>IFERROR(INDEX(tbl_Goals[GoalName],3),"")</f>
        <v/>
      </c>
      <c r="E10" s="23" t="n"/>
      <c r="F10" s="73">
        <f>IF(B10="","","$"&amp;TEXT(INDEX(tbl_Goals[CurrentAmount],3),"#,##0")&amp;" of $"&amp;TEXT(INDEX(tbl_Goals[TargetAmount],3),"#,##0")&amp;" ("&amp;TEXT(INDEX(tbl_Goals[CurrentAmount],3)/INDEX(tbl_Goals[TargetAmount],3),"0%")&amp;")")</f>
        <v/>
      </c>
      <c r="H10" s="97">
        <f>IFERROR(INDEX(tbl_Goals[TargetDate],3),"")</f>
        <v/>
      </c>
      <c r="K10" s="72">
        <f>IFERROR(INDEX(tbl_Goals[Status],3),"")</f>
        <v/>
      </c>
      <c r="M10" s="83" t="n"/>
      <c r="N10" s="14" t="n"/>
      <c r="O10" s="14" t="n"/>
    </row>
    <row r="11" ht="18" customHeight="1" s="37">
      <c r="A11" s="14" t="n"/>
      <c r="B11" s="69">
        <f>IFERROR(INDEX(tbl_Goals[GoalName],4),"")</f>
        <v/>
      </c>
      <c r="E11" s="23" t="n"/>
      <c r="F11" s="73">
        <f>IF(B11="","","$"&amp;TEXT(INDEX(tbl_Goals[CurrentAmount],4),"#,##0")&amp;" of $"&amp;TEXT(INDEX(tbl_Goals[TargetAmount],4),"#,##0")&amp;" ("&amp;TEXT(INDEX(tbl_Goals[CurrentAmount],4)/INDEX(tbl_Goals[TargetAmount],4),"0%")&amp;")")</f>
        <v/>
      </c>
      <c r="H11" s="97">
        <f>IFERROR(INDEX(tbl_Goals[TargetDate],4),"")</f>
        <v/>
      </c>
      <c r="K11" s="72">
        <f>IFERROR(INDEX(tbl_Goals[Status],4),"")</f>
        <v/>
      </c>
      <c r="M11" s="83" t="n"/>
      <c r="N11" s="14" t="n"/>
      <c r="O11" s="14" t="n"/>
    </row>
    <row r="12" ht="18" customHeight="1" s="37">
      <c r="A12" s="14" t="n"/>
      <c r="B12" s="69">
        <f>IFERROR(INDEX(tbl_Goals[GoalName],5),"")</f>
        <v/>
      </c>
      <c r="E12" s="23" t="n"/>
      <c r="F12" s="73">
        <f>IF(B12="","","$"&amp;TEXT(INDEX(tbl_Goals[CurrentAmount],5),"#,##0")&amp;" of $"&amp;TEXT(INDEX(tbl_Goals[TargetAmount],5),"#,##0")&amp;" ("&amp;TEXT(INDEX(tbl_Goals[CurrentAmount],5)/INDEX(tbl_Goals[TargetAmount],5),"0%")&amp;")")</f>
        <v/>
      </c>
      <c r="H12" s="97">
        <f>IFERROR(INDEX(tbl_Goals[TargetDate],5),"")</f>
        <v/>
      </c>
      <c r="K12" s="72">
        <f>IFERROR(INDEX(tbl_Goals[Status],5),"")</f>
        <v/>
      </c>
      <c r="M12" s="83" t="n"/>
      <c r="N12" s="14" t="n"/>
      <c r="O12" s="14" t="n"/>
    </row>
    <row r="13" ht="18" customHeight="1" s="37">
      <c r="A13" s="14" t="n"/>
      <c r="B13" s="69">
        <f>IFERROR(INDEX(tbl_Goals[GoalName],6),"")</f>
        <v/>
      </c>
      <c r="E13" s="23" t="n"/>
      <c r="F13" s="73">
        <f>IF(B13="","","$"&amp;TEXT(INDEX(tbl_Goals[CurrentAmount],6),"#,##0")&amp;" of $"&amp;TEXT(INDEX(tbl_Goals[TargetAmount],6),"#,##0")&amp;" ("&amp;TEXT(INDEX(tbl_Goals[CurrentAmount],6)/INDEX(tbl_Goals[TargetAmount],6),"0%")&amp;")")</f>
        <v/>
      </c>
      <c r="H13" s="97">
        <f>IFERROR(INDEX(tbl_Goals[TargetDate],6),"")</f>
        <v/>
      </c>
      <c r="K13" s="72">
        <f>IFERROR(INDEX(tbl_Goals[Status],6),"")</f>
        <v/>
      </c>
      <c r="M13" s="83" t="n"/>
      <c r="N13" s="14" t="n"/>
      <c r="O13" s="14" t="n"/>
    </row>
    <row r="14" ht="15.75" customHeight="1" s="37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 ht="24" customHeight="1" s="37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19.5" customHeight="1" s="37">
      <c r="A16" s="14" t="n"/>
      <c r="B16" s="5" t="inlineStr">
        <is>
          <t>Add a goal</t>
        </is>
      </c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2" t="n"/>
      <c r="N16" s="14" t="n"/>
      <c r="O16" s="14" t="n"/>
    </row>
    <row r="17" ht="21.75" customHeight="1" s="37">
      <c r="A17" s="14" t="n"/>
      <c r="B17" s="3" t="inlineStr">
        <is>
          <t>Goal name</t>
        </is>
      </c>
      <c r="E17" s="23" t="n"/>
      <c r="F17" s="2" t="n"/>
      <c r="G17" s="85" t="n"/>
      <c r="H17" s="85" t="n"/>
      <c r="I17" s="85" t="n"/>
      <c r="J17" s="85" t="n"/>
      <c r="K17" s="85" t="n"/>
      <c r="L17" s="85" t="n"/>
      <c r="M17" s="86" t="n"/>
      <c r="N17" s="14" t="n"/>
      <c r="O17" s="14" t="n"/>
    </row>
    <row r="18" ht="21.75" customHeight="1" s="37">
      <c r="A18" s="14" t="n"/>
      <c r="B18" s="3" t="inlineStr">
        <is>
          <t>Goal type</t>
        </is>
      </c>
      <c r="E18" s="23" t="n"/>
      <c r="F18" s="2" t="n"/>
      <c r="G18" s="85" t="n"/>
      <c r="H18" s="85" t="n"/>
      <c r="I18" s="85" t="n"/>
      <c r="J18" s="85" t="n"/>
      <c r="K18" s="85" t="n"/>
      <c r="L18" s="85" t="n"/>
      <c r="M18" s="86" t="n"/>
      <c r="N18" s="14" t="n"/>
      <c r="O18" s="14" t="n"/>
    </row>
    <row r="19" ht="21.75" customHeight="1" s="37">
      <c r="A19" s="14" t="n"/>
      <c r="B19" s="3" t="inlineStr">
        <is>
          <t>Target amount</t>
        </is>
      </c>
      <c r="E19" s="23" t="n"/>
      <c r="F19" s="92" t="n"/>
      <c r="G19" s="85" t="n"/>
      <c r="H19" s="85" t="n"/>
      <c r="I19" s="85" t="n"/>
      <c r="J19" s="85" t="n"/>
      <c r="K19" s="85" t="n"/>
      <c r="L19" s="85" t="n"/>
      <c r="M19" s="86" t="n"/>
      <c r="N19" s="14" t="n"/>
      <c r="O19" s="14" t="n"/>
    </row>
    <row r="20" ht="21.75" customHeight="1" s="37">
      <c r="A20" s="14" t="n"/>
      <c r="B20" s="1" t="inlineStr">
        <is>
          <t>Target date (optional)</t>
        </is>
      </c>
      <c r="C20" s="78" t="n"/>
      <c r="D20" s="78" t="n"/>
      <c r="E20" s="15" t="n"/>
      <c r="F20" s="98" t="n"/>
      <c r="G20" s="87" t="n"/>
      <c r="H20" s="87" t="n"/>
      <c r="I20" s="87" t="n"/>
      <c r="J20" s="87" t="n"/>
      <c r="K20" s="87" t="n"/>
      <c r="L20" s="87" t="n"/>
      <c r="M20" s="88" t="n"/>
      <c r="N20" s="14" t="n"/>
      <c r="O20" s="14" t="n"/>
    </row>
    <row r="21" ht="15.75" customHeight="1" s="37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 ht="19.5" customHeight="1" s="37">
      <c r="A23" s="14" t="n"/>
      <c r="B23" s="64" t="inlineStr">
        <is>
          <t>Ready to save</t>
        </is>
      </c>
      <c r="N23" s="14" t="n"/>
      <c r="O23" s="14" t="n"/>
    </row>
    <row r="24" ht="33.75" customHeight="1" s="37">
      <c r="A24" s="14" t="n"/>
      <c r="B24" s="65" t="inlineStr">
        <is>
          <t>Same manual step as Quick Add, Bills, and Clients: select the row below, copy it, then paste it (as values) into the first empty row of your Goals table. New goals start at $0 progress and Active status.</t>
        </is>
      </c>
      <c r="N24" s="14" t="n"/>
      <c r="O24" s="14" t="n"/>
    </row>
    <row r="25" ht="19.5" customHeight="1" s="37">
      <c r="A25" s="14" t="n"/>
      <c r="B25" s="27" t="inlineStr">
        <is>
          <t>GoalID</t>
        </is>
      </c>
      <c r="C25" s="27" t="inlineStr">
        <is>
          <t>GoalName</t>
        </is>
      </c>
      <c r="D25" s="27" t="inlineStr">
        <is>
          <t>GoalType</t>
        </is>
      </c>
      <c r="E25" s="27" t="inlineStr">
        <is>
          <t>TargetAmount</t>
        </is>
      </c>
      <c r="F25" s="27" t="inlineStr">
        <is>
          <t>CurrentAmount</t>
        </is>
      </c>
      <c r="G25" s="27" t="inlineStr">
        <is>
          <t>StartDate</t>
        </is>
      </c>
      <c r="H25" s="27" t="inlineStr">
        <is>
          <t>TargetDate</t>
        </is>
      </c>
      <c r="I25" s="27" t="inlineStr">
        <is>
          <t>Status</t>
        </is>
      </c>
      <c r="J25" s="27" t="inlineStr">
        <is>
          <t>IconTag</t>
        </is>
      </c>
      <c r="K25" s="33" t="n"/>
      <c r="L25" s="33" t="n"/>
      <c r="M25" s="33" t="n"/>
      <c r="N25" s="14" t="n"/>
      <c r="O25" s="14" t="n"/>
    </row>
    <row r="26" ht="19.5" customHeight="1" s="37">
      <c r="A26" s="14" t="n"/>
      <c r="B26" s="31">
        <f t="array" ref="B26">"GOAL-"&amp;TEXT(MAX(IFERROR(VALUE(MID(tbl_Goals[GoalID],6,10)),0))+1,"000")</f>
        <v/>
      </c>
      <c r="C26" s="31">
        <f>F17</f>
        <v/>
      </c>
      <c r="D26" s="31">
        <f>F18</f>
        <v/>
      </c>
      <c r="E26" s="94">
        <f>F19</f>
        <v/>
      </c>
      <c r="F26" s="94" t="n">
        <v>0</v>
      </c>
      <c r="G26" s="93">
        <f>TODAY()</f>
        <v/>
      </c>
      <c r="H26" s="93">
        <f>F20</f>
        <v/>
      </c>
      <c r="I26" s="31" t="inlineStr">
        <is>
          <t>Active</t>
        </is>
      </c>
      <c r="J26" s="31" t="inlineStr">
        <is>
          <t>flag</t>
        </is>
      </c>
      <c r="K26" s="33" t="n"/>
      <c r="L26" s="33" t="n"/>
      <c r="M26" s="33" t="n"/>
      <c r="N26" s="14" t="n"/>
      <c r="O26" s="14" t="n"/>
    </row>
    <row r="27" ht="31.5" customHeight="1" s="3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42">
    <mergeCell ref="B11:D11"/>
    <mergeCell ref="F11:G11"/>
    <mergeCell ref="F10:G10"/>
    <mergeCell ref="B8:D8"/>
    <mergeCell ref="F19:M19"/>
    <mergeCell ref="B23:M23"/>
    <mergeCell ref="B17:D17"/>
    <mergeCell ref="B13:D13"/>
    <mergeCell ref="K12:M12"/>
    <mergeCell ref="H11:J11"/>
    <mergeCell ref="H7:J7"/>
    <mergeCell ref="F7:G7"/>
    <mergeCell ref="B10:D10"/>
    <mergeCell ref="K8:M8"/>
    <mergeCell ref="B19:D19"/>
    <mergeCell ref="F12:G12"/>
    <mergeCell ref="H13:J13"/>
    <mergeCell ref="F20:M20"/>
    <mergeCell ref="B9:D9"/>
    <mergeCell ref="H12:J12"/>
    <mergeCell ref="F18:M18"/>
    <mergeCell ref="K7:M7"/>
    <mergeCell ref="B20:D20"/>
    <mergeCell ref="F8:G8"/>
    <mergeCell ref="B6:M6"/>
    <mergeCell ref="B24:M24"/>
    <mergeCell ref="F17:M17"/>
    <mergeCell ref="K10:M10"/>
    <mergeCell ref="K13:M13"/>
    <mergeCell ref="H8:J8"/>
    <mergeCell ref="K11:M11"/>
    <mergeCell ref="F13:G13"/>
    <mergeCell ref="B7:D7"/>
    <mergeCell ref="B4:M4"/>
    <mergeCell ref="F9:G9"/>
    <mergeCell ref="B16:M16"/>
    <mergeCell ref="H10:J10"/>
    <mergeCell ref="K9:M9"/>
    <mergeCell ref="B18:D18"/>
    <mergeCell ref="H9:J9"/>
    <mergeCell ref="B12:D12"/>
    <mergeCell ref="B2:D2"/>
  </mergeCells>
  <conditionalFormatting sqref="K8">
    <cfRule type="expression" priority="2" dxfId="0">
      <formula>EXACT(K8,"Achieved")</formula>
    </cfRule>
  </conditionalFormatting>
  <conditionalFormatting sqref="K9">
    <cfRule type="expression" priority="3" dxfId="0">
      <formula>EXACT(K9,"Achieved")</formula>
    </cfRule>
  </conditionalFormatting>
  <conditionalFormatting sqref="K10">
    <cfRule type="expression" priority="4" dxfId="0">
      <formula>EXACT(K10,"Achieved")</formula>
    </cfRule>
  </conditionalFormatting>
  <conditionalFormatting sqref="K11">
    <cfRule type="expression" priority="5" dxfId="0">
      <formula>EXACT(K11,"Achieved")</formula>
    </cfRule>
  </conditionalFormatting>
  <conditionalFormatting sqref="K12">
    <cfRule type="expression" priority="6" dxfId="0">
      <formula>EXACT(K12,"Achieved")</formula>
    </cfRule>
  </conditionalFormatting>
  <conditionalFormatting sqref="K13">
    <cfRule type="expression" priority="7" dxfId="0">
      <formula>EXACT(K13,"Achieved")</formula>
    </cfRule>
  </conditionalFormatting>
  <dataValidations count="3">
    <dataValidation sqref="F19" showDropDown="0" showInputMessage="0" showErrorMessage="0" allowBlank="1" type="decimal" operator="greaterThan">
      <formula1>0</formula1>
      <formula2>0</formula2>
    </dataValidation>
    <dataValidation sqref="F18" showDropDown="0" showInputMessage="0" showErrorMessage="0" allowBlank="1" type="list">
      <formula1>rngGoalTypes</formula1>
      <formula2>0</formula2>
    </dataValidation>
    <dataValidation sqref="F20" showDropDown="0" showInputMessage="0" showErrorMessage="0" allowBlank="1" type="date" operator="greaterThan">
      <formula1>DATE(1999,12,31)</formula1>
      <formula2>0</formula2>
    </dataValidation>
  </dataValidations>
  <hyperlinks>
    <hyperlink ref="F2" location="Home!A1" display="Home"/>
    <hyperlink ref="G2" location="'Quick Add'!A1" display="Quick Add"/>
    <hyperlink ref="H2" location="Bills!A1" display="Bills"/>
    <hyperlink ref="J2" location="Clients!A1" display="Clients"/>
    <hyperlink ref="K2" location="Goals!A1" display="Goals"/>
    <hyperlink ref="L2" location="Home!B23" display="Insights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4"/>
  </cols>
  <sheetData>
    <row r="1" ht="15" customHeight="1" s="37">
      <c r="A1" s="34" t="inlineStr">
        <is>
          <t>TransactionID</t>
        </is>
      </c>
      <c r="B1" s="34" t="inlineStr">
        <is>
          <t>Date</t>
        </is>
      </c>
      <c r="C1" s="34" t="inlineStr">
        <is>
          <t>Direction</t>
        </is>
      </c>
      <c r="D1" s="34" t="inlineStr">
        <is>
          <t>Amount</t>
        </is>
      </c>
      <c r="E1" s="34" t="inlineStr">
        <is>
          <t>CategoryID</t>
        </is>
      </c>
      <c r="F1" s="34" t="inlineStr">
        <is>
          <t>Description</t>
        </is>
      </c>
      <c r="G1" s="34" t="inlineStr">
        <is>
          <t>CustomerID</t>
        </is>
      </c>
      <c r="H1" s="34" t="inlineStr">
        <is>
          <t>VendorID</t>
        </is>
      </c>
      <c r="I1" s="34" t="inlineStr">
        <is>
          <t>RelatedInvoiceID</t>
        </is>
      </c>
      <c r="J1" s="34" t="inlineStr">
        <is>
          <t>RelatedBillID</t>
        </is>
      </c>
      <c r="K1" s="34" t="inlineStr">
        <is>
          <t>IsRecurring</t>
        </is>
      </c>
      <c r="L1" s="34" t="inlineStr">
        <is>
          <t>RecurrenceSourceID</t>
        </is>
      </c>
      <c r="M1" s="34" t="inlineStr">
        <is>
          <t>EntryMethod</t>
        </is>
      </c>
      <c r="N1" s="34" t="inlineStr">
        <is>
          <t>CreatedTimestamp</t>
        </is>
      </c>
    </row>
    <row r="2" ht="15" customHeight="1" s="37">
      <c r="A2" t="inlineStr">
        <is>
          <t>TXN-000482</t>
        </is>
      </c>
      <c r="B2" s="99">
        <f>MAX(DATE(YEAR(TODAY()),MONTH(TODAY()),1),TODAY()-1)</f>
        <v/>
      </c>
      <c r="C2" t="inlineStr">
        <is>
          <t>Out</t>
        </is>
      </c>
      <c r="D2" t="n">
        <v>45</v>
      </c>
      <c r="E2" t="inlineStr">
        <is>
          <t>CAT-007</t>
        </is>
      </c>
      <c r="F2" t="inlineStr">
        <is>
          <t>Coffee shop supplies</t>
        </is>
      </c>
      <c r="H2" t="inlineStr">
        <is>
          <t>VEN-007</t>
        </is>
      </c>
      <c r="K2">
        <f>FALSE()</f>
        <v/>
      </c>
      <c r="M2" t="inlineStr">
        <is>
          <t>Sample</t>
        </is>
      </c>
      <c r="N2" t="inlineStr">
        <is>
          <t>Sample data</t>
        </is>
      </c>
    </row>
    <row r="3" ht="15" customHeight="1" s="37">
      <c r="A3" t="inlineStr">
        <is>
          <t>TXN-000483</t>
        </is>
      </c>
      <c r="B3" s="99">
        <f>MAX(DATE(YEAR(TODAY()),MONTH(TODAY()),1),TODAY()-3)</f>
        <v/>
      </c>
      <c r="C3" t="inlineStr">
        <is>
          <t>In</t>
        </is>
      </c>
      <c r="D3" t="n">
        <v>850</v>
      </c>
      <c r="E3" t="inlineStr">
        <is>
          <t>CAT-001</t>
        </is>
      </c>
      <c r="F3" t="inlineStr">
        <is>
          <t>Website design deposit</t>
        </is>
      </c>
      <c r="G3" t="inlineStr">
        <is>
          <t>CUS-001</t>
        </is>
      </c>
      <c r="K3">
        <f>FALSE()</f>
        <v/>
      </c>
      <c r="M3" t="inlineStr">
        <is>
          <t>Sample</t>
        </is>
      </c>
      <c r="N3" t="inlineStr">
        <is>
          <t>Sample data</t>
        </is>
      </c>
    </row>
    <row r="4">
      <c r="A4" t="inlineStr">
        <is>
          <t>TXN-000484</t>
        </is>
      </c>
      <c r="B4" s="99">
        <f>MAX(DATE(YEAR(TODAY()),MONTH(TODAY()),1),TODAY()-2)</f>
        <v/>
      </c>
      <c r="C4" t="inlineStr">
        <is>
          <t>Out</t>
        </is>
      </c>
      <c r="D4" t="n">
        <v>120</v>
      </c>
      <c r="E4" t="inlineStr">
        <is>
          <t>CAT-007</t>
        </is>
      </c>
      <c r="F4" t="inlineStr">
        <is>
          <t>Supply order</t>
        </is>
      </c>
      <c r="H4" t="inlineStr">
        <is>
          <t>VEN-007</t>
        </is>
      </c>
      <c r="K4">
        <f>FALSE()</f>
        <v/>
      </c>
      <c r="M4" t="inlineStr">
        <is>
          <t>Sample</t>
        </is>
      </c>
      <c r="N4" t="inlineStr">
        <is>
          <t>Sample 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3" showDropDown="0" showInputMessage="0" showErrorMessage="0" allowBlank="0" type="list">
      <formula1>rngTransactionDirection</formula1>
      <formula2>0</formula2>
    </dataValidation>
    <dataValidation sqref="K2:K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CategoryID</t>
        </is>
      </c>
      <c r="B1" s="34" t="inlineStr">
        <is>
          <t>CategoryName</t>
        </is>
      </c>
      <c r="C1" s="34" t="inlineStr">
        <is>
          <t>Direction</t>
        </is>
      </c>
      <c r="D1" s="34" t="inlineStr">
        <is>
          <t>IsSystemDefault</t>
        </is>
      </c>
      <c r="E1" s="34" t="inlineStr">
        <is>
          <t>IsArchived</t>
        </is>
      </c>
      <c r="F1" s="34" t="inlineStr">
        <is>
          <t>IconTag</t>
        </is>
      </c>
    </row>
    <row r="2" ht="15" customHeight="1" s="37">
      <c r="A2" t="inlineStr">
        <is>
          <t>CAT-001</t>
        </is>
      </c>
      <c r="B2" t="inlineStr">
        <is>
          <t>Client payments</t>
        </is>
      </c>
      <c r="C2" t="inlineStr">
        <is>
          <t>In</t>
        </is>
      </c>
      <c r="D2">
        <f>TRUE()</f>
        <v/>
      </c>
      <c r="E2">
        <f>FALSE()</f>
        <v/>
      </c>
      <c r="F2" t="inlineStr">
        <is>
          <t>money-in</t>
        </is>
      </c>
    </row>
    <row r="3" ht="15" customHeight="1" s="37">
      <c r="A3" t="inlineStr">
        <is>
          <t>CAT-002</t>
        </is>
      </c>
      <c r="B3" t="inlineStr">
        <is>
          <t>Product sales</t>
        </is>
      </c>
      <c r="C3" t="inlineStr">
        <is>
          <t>In</t>
        </is>
      </c>
      <c r="D3">
        <f>TRUE()</f>
        <v/>
      </c>
      <c r="E3">
        <f>FALSE()</f>
        <v/>
      </c>
      <c r="F3" t="inlineStr">
        <is>
          <t>cart</t>
        </is>
      </c>
    </row>
    <row r="4" ht="15" customHeight="1" s="37">
      <c r="A4" t="inlineStr">
        <is>
          <t>CAT-003</t>
        </is>
      </c>
      <c r="B4" t="inlineStr">
        <is>
          <t>Other income</t>
        </is>
      </c>
      <c r="C4" t="inlineStr">
        <is>
          <t>In</t>
        </is>
      </c>
      <c r="D4">
        <f>TRUE()</f>
        <v/>
      </c>
      <c r="E4">
        <f>FALSE()</f>
        <v/>
      </c>
      <c r="F4" t="inlineStr">
        <is>
          <t>plus-circle</t>
        </is>
      </c>
    </row>
    <row r="5" ht="15" customHeight="1" s="37">
      <c r="A5" t="inlineStr">
        <is>
          <t>CAT-004</t>
        </is>
      </c>
      <c r="B5" t="inlineStr">
        <is>
          <t>Rent</t>
        </is>
      </c>
      <c r="C5" t="inlineStr">
        <is>
          <t>Out</t>
        </is>
      </c>
      <c r="D5">
        <f>TRUE()</f>
        <v/>
      </c>
      <c r="E5">
        <f>FALSE()</f>
        <v/>
      </c>
      <c r="F5" t="inlineStr">
        <is>
          <t>building</t>
        </is>
      </c>
    </row>
    <row r="6" ht="15" customHeight="1" s="37">
      <c r="A6" t="inlineStr">
        <is>
          <t>CAT-005</t>
        </is>
      </c>
      <c r="B6" t="inlineStr">
        <is>
          <t>Utilities</t>
        </is>
      </c>
      <c r="C6" t="inlineStr">
        <is>
          <t>Out</t>
        </is>
      </c>
      <c r="D6">
        <f>TRUE()</f>
        <v/>
      </c>
      <c r="E6">
        <f>FALSE()</f>
        <v/>
      </c>
      <c r="F6" t="inlineStr">
        <is>
          <t>bolt</t>
        </is>
      </c>
    </row>
    <row r="7" ht="15" customHeight="1" s="37">
      <c r="A7" t="inlineStr">
        <is>
          <t>CAT-006</t>
        </is>
      </c>
      <c r="B7" t="inlineStr">
        <is>
          <t>Software subscriptions</t>
        </is>
      </c>
      <c r="C7" t="inlineStr">
        <is>
          <t>Out</t>
        </is>
      </c>
      <c r="D7">
        <f>TRUE()</f>
        <v/>
      </c>
      <c r="E7">
        <f>FALSE()</f>
        <v/>
      </c>
      <c r="F7" t="inlineStr">
        <is>
          <t>laptop</t>
        </is>
      </c>
    </row>
    <row r="8" ht="15" customHeight="1" s="37">
      <c r="A8" t="inlineStr">
        <is>
          <t>CAT-007</t>
        </is>
      </c>
      <c r="B8" t="inlineStr">
        <is>
          <t>Supplies</t>
        </is>
      </c>
      <c r="C8" t="inlineStr">
        <is>
          <t>Out</t>
        </is>
      </c>
      <c r="D8">
        <f>TRUE()</f>
        <v/>
      </c>
      <c r="E8">
        <f>FALSE()</f>
        <v/>
      </c>
      <c r="F8" t="inlineStr">
        <is>
          <t>box</t>
        </is>
      </c>
    </row>
    <row r="9" ht="15" customHeight="1" s="37">
      <c r="A9" t="inlineStr">
        <is>
          <t>CAT-008</t>
        </is>
      </c>
      <c r="B9" t="inlineStr">
        <is>
          <t>Payroll</t>
        </is>
      </c>
      <c r="C9" t="inlineStr">
        <is>
          <t>Out</t>
        </is>
      </c>
      <c r="D9">
        <f>TRUE()</f>
        <v/>
      </c>
      <c r="E9">
        <f>FALSE()</f>
        <v/>
      </c>
      <c r="F9" t="inlineStr">
        <is>
          <t>users</t>
        </is>
      </c>
    </row>
    <row r="10" ht="15" customHeight="1" s="37">
      <c r="A10" t="inlineStr">
        <is>
          <t>CAT-009</t>
        </is>
      </c>
      <c r="B10" t="inlineStr">
        <is>
          <t>Marketing</t>
        </is>
      </c>
      <c r="C10" t="inlineStr">
        <is>
          <t>Out</t>
        </is>
      </c>
      <c r="D10">
        <f>TRUE()</f>
        <v/>
      </c>
      <c r="E10">
        <f>FALSE()</f>
        <v/>
      </c>
      <c r="F10" t="inlineStr">
        <is>
          <t>megaphone</t>
        </is>
      </c>
    </row>
    <row r="11" ht="15" customHeight="1" s="37">
      <c r="A11" t="inlineStr">
        <is>
          <t>CAT-010</t>
        </is>
      </c>
      <c r="B11" t="inlineStr">
        <is>
          <t>Insurance</t>
        </is>
      </c>
      <c r="C11" t="inlineStr">
        <is>
          <t>Out</t>
        </is>
      </c>
      <c r="D11">
        <f>TRUE()</f>
        <v/>
      </c>
      <c r="E11">
        <f>FALSE()</f>
        <v/>
      </c>
      <c r="F11" t="inlineStr">
        <is>
          <t>shield</t>
        </is>
      </c>
    </row>
    <row r="12" ht="15" customHeight="1" s="37">
      <c r="A12" t="inlineStr">
        <is>
          <t>CAT-011</t>
        </is>
      </c>
      <c r="B12" t="inlineStr">
        <is>
          <t>Contractor payments</t>
        </is>
      </c>
      <c r="C12" t="inlineStr">
        <is>
          <t>Out</t>
        </is>
      </c>
      <c r="D12">
        <f>TRUE()</f>
        <v/>
      </c>
      <c r="E12">
        <f>FALSE()</f>
        <v/>
      </c>
      <c r="F12" t="inlineStr">
        <is>
          <t>briefcase</t>
        </is>
      </c>
    </row>
    <row r="13" ht="15" customHeight="1" s="37">
      <c r="A13" t="inlineStr">
        <is>
          <t>CAT-012</t>
        </is>
      </c>
      <c r="B13" t="inlineStr">
        <is>
          <t>Other expenses</t>
        </is>
      </c>
      <c r="C13" t="inlineStr">
        <is>
          <t>Out</t>
        </is>
      </c>
      <c r="D13">
        <f>TRUE()</f>
        <v/>
      </c>
      <c r="E13">
        <f>FALSE()</f>
        <v/>
      </c>
      <c r="F13" t="inlineStr">
        <is>
          <t>dots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13" showDropDown="0" showInputMessage="0" showErrorMessage="0" allowBlank="0" type="list">
      <formula1>rngCategoryDirection</formula1>
      <formula2>0</formula2>
    </dataValidation>
    <dataValidation sqref="D2:E1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7"/>
  </cols>
  <sheetData>
    <row r="1" ht="15" customHeight="1" s="37">
      <c r="A1" s="34" t="inlineStr">
        <is>
          <t>VendorID</t>
        </is>
      </c>
      <c r="B1" s="34" t="inlineStr">
        <is>
          <t>VendorName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DefaultCategoryID</t>
        </is>
      </c>
      <c r="F1" s="34" t="inlineStr">
        <is>
          <t>Notes</t>
        </is>
      </c>
      <c r="G1" s="34" t="inlineStr">
        <is>
          <t>IsArchived</t>
        </is>
      </c>
    </row>
    <row r="2" ht="15" customHeight="1" s="37">
      <c r="A2" t="inlineStr">
        <is>
          <t>VEN-007</t>
        </is>
      </c>
      <c r="B2" t="inlineStr">
        <is>
          <t>City Wholesale Supplies</t>
        </is>
      </c>
      <c r="C2" t="inlineStr">
        <is>
          <t>orders@citywholesale.com</t>
        </is>
      </c>
      <c r="D2" t="inlineStr">
        <is>
          <t>555-0142</t>
        </is>
      </c>
      <c r="E2" t="inlineStr">
        <is>
          <t>CAT-007</t>
        </is>
      </c>
      <c r="G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G2:G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BillID</t>
        </is>
      </c>
      <c r="B1" s="34" t="inlineStr">
        <is>
          <t>VendorID</t>
        </is>
      </c>
      <c r="C1" s="34" t="inlineStr">
        <is>
          <t>Amount</t>
        </is>
      </c>
      <c r="D1" s="34" t="inlineStr">
        <is>
          <t>DueDate</t>
        </is>
      </c>
      <c r="E1" s="34" t="inlineStr">
        <is>
          <t>IsRecurring</t>
        </is>
      </c>
      <c r="F1" s="34" t="inlineStr">
        <is>
          <t>RecurrenceFrequency</t>
        </is>
      </c>
      <c r="G1" s="34" t="inlineStr">
        <is>
          <t>Status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BILL-0001</t>
        </is>
      </c>
      <c r="B2" t="inlineStr">
        <is>
          <t>VEN-007</t>
        </is>
      </c>
      <c r="C2" t="n">
        <v>89</v>
      </c>
      <c r="D2" s="99">
        <f>TODAY()+11</f>
        <v/>
      </c>
      <c r="E2">
        <f>TRUE()</f>
        <v/>
      </c>
      <c r="F2" t="inlineStr">
        <is>
          <t>Monthly</t>
        </is>
      </c>
      <c r="G2" t="inlineStr">
        <is>
          <t>Upcoming</t>
        </is>
      </c>
      <c r="I2" t="inlineStr">
        <is>
          <t>Software subscription</t>
        </is>
      </c>
    </row>
    <row r="3" ht="15" customHeight="1" s="37">
      <c r="A3" t="inlineStr">
        <is>
          <t>BILL-0002</t>
        </is>
      </c>
      <c r="B3" t="inlineStr">
        <is>
          <t>VEN-007</t>
        </is>
      </c>
      <c r="C3" t="n">
        <v>150</v>
      </c>
      <c r="D3" s="99">
        <f>TODAY()-6</f>
        <v/>
      </c>
      <c r="E3">
        <f>FALSE()</f>
        <v/>
      </c>
      <c r="F3" t="inlineStr">
        <is>
          <t>None</t>
        </is>
      </c>
      <c r="G3" t="inlineStr">
        <is>
          <t>Overdue</t>
        </is>
      </c>
      <c r="I3" t="inlineStr">
        <is>
          <t>Supply order invoice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G2:G50" showDropDown="0" showInputMessage="0" showErrorMessage="0" allowBlank="0" type="list">
      <formula1>rngBillStatuses</formula1>
      <formula2>0</formula2>
    </dataValidation>
    <dataValidation sqref="F2:F50" showDropDown="0" showInputMessage="0" showErrorMessage="0" allowBlank="0" type="list">
      <formula1>rngRecurrenceFrequencies</formula1>
      <formula2>0</formula2>
    </dataValidation>
    <dataValidation sqref="E2:E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CustomerID</t>
        </is>
      </c>
      <c r="B1" s="34" t="inlineStr">
        <is>
          <t>CustomerName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Notes</t>
        </is>
      </c>
      <c r="F1" s="34" t="inlineStr">
        <is>
          <t>IsArchived</t>
        </is>
      </c>
    </row>
    <row r="2" ht="15" customHeight="1" s="37">
      <c r="A2" t="inlineStr">
        <is>
          <t>CUS-001</t>
        </is>
      </c>
      <c r="B2" t="inlineStr">
        <is>
          <t>Blue Harbor Cafe</t>
        </is>
      </c>
      <c r="C2" t="inlineStr">
        <is>
          <t>hello@blueharborcafe.com</t>
        </is>
      </c>
      <c r="F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InvoiceID</t>
        </is>
      </c>
      <c r="B1" s="34" t="inlineStr">
        <is>
          <t>CustomerID</t>
        </is>
      </c>
      <c r="C1" s="34" t="inlineStr">
        <is>
          <t>IssueDate</t>
        </is>
      </c>
      <c r="D1" s="34" t="inlineStr">
        <is>
          <t>DueDate</t>
        </is>
      </c>
      <c r="E1" s="34" t="inlineStr">
        <is>
          <t>Amount</t>
        </is>
      </c>
      <c r="F1" s="34" t="inlineStr">
        <is>
          <t>Status</t>
        </is>
      </c>
      <c r="G1" s="34" t="inlineStr">
        <is>
          <t>PaidDate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INV-0001</t>
        </is>
      </c>
      <c r="B2" t="inlineStr">
        <is>
          <t>CUS-001</t>
        </is>
      </c>
      <c r="C2" s="99">
        <f>TODAY()-30</f>
        <v/>
      </c>
      <c r="D2" s="99">
        <f>TODAY()-16</f>
        <v/>
      </c>
      <c r="E2" t="n">
        <v>1200</v>
      </c>
      <c r="F2" t="inlineStr">
        <is>
          <t>Overdue</t>
        </is>
      </c>
      <c r="I2" t="inlineStr">
        <is>
          <t>Logo design project</t>
        </is>
      </c>
    </row>
    <row r="3" ht="15" customHeight="1" s="37">
      <c r="A3" t="inlineStr">
        <is>
          <t>INV-0002</t>
        </is>
      </c>
      <c r="B3" t="inlineStr">
        <is>
          <t>CUS-001</t>
        </is>
      </c>
      <c r="C3" s="99">
        <f>TODAY()-4</f>
        <v/>
      </c>
      <c r="D3" s="99">
        <f>TODAY()+10</f>
        <v/>
      </c>
      <c r="E3" t="n">
        <v>500</v>
      </c>
      <c r="F3" t="inlineStr">
        <is>
          <t>Sent</t>
        </is>
      </c>
      <c r="I3" t="inlineStr">
        <is>
          <t>Website update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rngInvoiceStatuses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GoalID</t>
        </is>
      </c>
      <c r="B1" s="34" t="inlineStr">
        <is>
          <t>GoalName</t>
        </is>
      </c>
      <c r="C1" s="34" t="inlineStr">
        <is>
          <t>GoalType</t>
        </is>
      </c>
      <c r="D1" s="34" t="inlineStr">
        <is>
          <t>TargetAmount</t>
        </is>
      </c>
      <c r="E1" s="34" t="inlineStr">
        <is>
          <t>CurrentAmount</t>
        </is>
      </c>
      <c r="F1" s="34" t="inlineStr">
        <is>
          <t>StartDate</t>
        </is>
      </c>
      <c r="G1" s="34" t="inlineStr">
        <is>
          <t>TargetDate</t>
        </is>
      </c>
      <c r="H1" s="34" t="inlineStr">
        <is>
          <t>Status</t>
        </is>
      </c>
      <c r="I1" s="34" t="inlineStr">
        <is>
          <t>IconTag</t>
        </is>
      </c>
    </row>
    <row r="2" ht="15" customHeight="1" s="37">
      <c r="A2" t="inlineStr">
        <is>
          <t>GOAL-001</t>
        </is>
      </c>
      <c r="B2" t="inlineStr">
        <is>
          <t>Emergency Fund</t>
        </is>
      </c>
      <c r="C2" t="inlineStr">
        <is>
          <t>Savings</t>
        </is>
      </c>
      <c r="D2" t="n">
        <v>9000</v>
      </c>
      <c r="E2" t="n">
        <v>5580</v>
      </c>
      <c r="F2" s="99">
        <f>DATE(YEAR(TODAY()),1,1)</f>
        <v/>
      </c>
      <c r="G2" s="99">
        <f>DATE(YEAR(TODAY()),12,31)</f>
        <v/>
      </c>
      <c r="H2" t="inlineStr">
        <is>
          <t>Active</t>
        </is>
      </c>
      <c r="I2" t="inlineStr">
        <is>
          <t>shield</t>
        </is>
      </c>
    </row>
    <row r="3" ht="15" customHeight="1" s="37"/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50" showDropDown="0" showInputMessage="0" showErrorMessage="0" allowBlank="0" type="list">
      <formula1>rngGoalTypes</formula1>
      <formula2>0</formula2>
    </dataValidation>
    <dataValidation sqref="H2:H50" showDropDown="0" showInputMessage="0" showErrorMessage="0" allowBlank="0" type="list">
      <formula1>rngGoalStatuses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BusinessName</t>
        </is>
      </c>
      <c r="B1" s="34" t="inlineStr">
        <is>
          <t>BusinessType</t>
        </is>
      </c>
      <c r="C1" s="34" t="inlineStr">
        <is>
          <t>FiscalYearStartMonth</t>
        </is>
      </c>
      <c r="D1" s="34" t="inlineStr">
        <is>
          <t>Currency</t>
        </is>
      </c>
      <c r="E1" s="34" t="inlineStr">
        <is>
          <t>StartingCashBalance</t>
        </is>
      </c>
      <c r="F1" s="34" t="inlineStr">
        <is>
          <t>SetupCompletedDate</t>
        </is>
      </c>
      <c r="G1" s="34" t="inlineStr">
        <is>
          <t>LogoPlaceholder</t>
        </is>
      </c>
      <c r="H1" s="34" t="inlineStr">
        <is>
          <t>OwnerName</t>
        </is>
      </c>
      <c r="I1" s="34" t="inlineStr">
        <is>
          <t>TimeZone</t>
        </is>
      </c>
    </row>
    <row r="2" ht="15" customHeight="1" s="37">
      <c r="A2">
        <f>Settings!F7</f>
        <v/>
      </c>
      <c r="B2">
        <f>Settings!F9</f>
        <v/>
      </c>
      <c r="C2">
        <f>Settings!F11</f>
        <v/>
      </c>
      <c r="D2">
        <f>Settings!F10</f>
        <v/>
      </c>
      <c r="E2" t="n">
        <v>2500</v>
      </c>
      <c r="F2" s="99" t="n">
        <v>46025</v>
      </c>
      <c r="G2">
        <f>Settings!F18</f>
        <v/>
      </c>
      <c r="H2">
        <f>Settings!F8</f>
        <v/>
      </c>
      <c r="I2">
        <f>Settings!F12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B2" showDropDown="0" showInputMessage="0" showErrorMessage="0" allowBlank="0" type="list">
      <formula1>rngindustries</formula1>
      <formula2>0</formula2>
    </dataValidation>
    <dataValidation sqref="C2" showDropDown="0" showInputMessage="0" showErrorMessage="0" allowBlank="0" type="list">
      <formula1>rngMonths</formula1>
      <formula2>0</formula2>
    </dataValidation>
    <dataValidation sqref="D2" showDropDown="0" showInputMessage="0" showErrorMessage="0" allowBlank="0" type="list">
      <formula1>rngCurrencies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2"/>
  </cols>
  <sheetData>
    <row r="1" ht="15" customHeight="1" s="37">
      <c r="A1" s="34" t="inlineStr">
        <is>
          <t>DateFormatPreference</t>
        </is>
      </c>
      <c r="B1" s="34" t="inlineStr">
        <is>
          <t>WeekStartDay</t>
        </is>
      </c>
      <c r="C1" s="34" t="inlineStr">
        <is>
          <t>InsightsEnabled</t>
        </is>
      </c>
      <c r="D1" s="34" t="inlineStr">
        <is>
          <t>CelebrationAnimationsEnabled</t>
        </is>
      </c>
      <c r="E1" s="34" t="inlineStr">
        <is>
          <t>DefaultInvoiceDueDays</t>
        </is>
      </c>
      <c r="F1" s="34" t="inlineStr">
        <is>
          <t>LastBriefingGeneratedDate</t>
        </is>
      </c>
      <c r="G1" s="34" t="inlineStr">
        <is>
          <t>AppVersion</t>
        </is>
      </c>
      <c r="H1" s="34" t="inlineStr">
        <is>
          <t>NumberFormat</t>
        </is>
      </c>
      <c r="I1" s="34" t="inlineStr">
        <is>
          <t>Theme</t>
        </is>
      </c>
      <c r="J1" s="34" t="inlineStr">
        <is>
          <t>BuildNumber</t>
        </is>
      </c>
      <c r="K1" s="34" t="inlineStr">
        <is>
          <t>LastUpdated</t>
        </is>
      </c>
      <c r="L1" s="34" t="inlineStr">
        <is>
          <t>License</t>
        </is>
      </c>
    </row>
    <row r="2" ht="15" customHeight="1" s="37">
      <c r="A2">
        <f>Settings!F22</f>
        <v/>
      </c>
      <c r="B2">
        <f>Settings!F23</f>
        <v/>
      </c>
      <c r="C2">
        <f>TRUE()</f>
        <v/>
      </c>
      <c r="D2">
        <f>TRUE()</f>
        <v/>
      </c>
      <c r="E2" t="n">
        <v>14</v>
      </c>
      <c r="F2" s="99" t="n">
        <v>46216</v>
      </c>
      <c r="G2" t="inlineStr">
        <is>
          <t>1.0.2</t>
        </is>
      </c>
      <c r="H2">
        <f>Settings!F24</f>
        <v/>
      </c>
      <c r="I2">
        <f>Settings!F16</f>
        <v/>
      </c>
      <c r="J2" t="inlineStr">
        <is>
          <t>2026.07.14-001</t>
        </is>
      </c>
      <c r="K2" s="99" t="n">
        <v>46217</v>
      </c>
      <c r="L2" t="inlineStr">
        <is>
          <t>Licensed to Riverside Design Studio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A2" showDropDown="0" showInputMessage="0" showErrorMessage="0" allowBlank="0" type="list">
      <formula1>rngDateFormats</formula1>
      <formula2>0</formula2>
    </dataValidation>
    <dataValidation sqref="B2" showDropDown="0" showInputMessage="0" showErrorMessage="0" allowBlank="0" type="list">
      <formula1>rngWeekStart</formula1>
      <formula2>0</formula2>
    </dataValidation>
    <dataValidation sqref="C2:D2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B8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8" customWidth="1" style="37" min="1" max="1"/>
    <col width="20" customWidth="1" style="37" min="2" max="2"/>
  </cols>
  <sheetData>
    <row r="2" ht="15" customHeight="1" s="37">
      <c r="A2" s="34" t="inlineStr">
        <is>
          <t>Current Month</t>
        </is>
      </c>
      <c r="B2" s="99">
        <f>DATE(YEAR(TODAY()),MONTH(TODAY()),1)</f>
        <v/>
      </c>
    </row>
    <row r="3" ht="15" customHeight="1" s="37">
      <c r="A3" s="34" t="inlineStr">
        <is>
          <t>Previous Month</t>
        </is>
      </c>
      <c r="B3" s="99">
        <f>EDATE(B2,-1)</f>
        <v/>
      </c>
    </row>
    <row r="4" ht="15" customHeight="1" s="37">
      <c r="A4" s="34" t="inlineStr">
        <is>
          <t>Money In This Month</t>
        </is>
      </c>
      <c r="B4" s="100">
        <f>SUMIFS(tbl_Transactions[Amount],tbl_Transactions[Direction],"In",tbl_Transactions[Date],"&gt;="&amp;B2,tbl_Transactions[Date],"&lt;"&amp;EDATE(B2,1))</f>
        <v/>
      </c>
    </row>
    <row r="5" ht="15" customHeight="1" s="37">
      <c r="A5" s="34" t="inlineStr">
        <is>
          <t>Money Out This Month</t>
        </is>
      </c>
      <c r="B5" s="100">
        <f>SUMIFS(tbl_Transactions[Amount],tbl_Transactions[Direction],"Out",tbl_Transactions[Date],"&gt;="&amp;B2,tbl_Transactions[Date],"&lt;"&amp;EDATE(B2,1))</f>
        <v/>
      </c>
    </row>
    <row r="6" ht="15" customHeight="1" s="37">
      <c r="A6" s="34" t="inlineStr">
        <is>
          <t>Net Cash Flow</t>
        </is>
      </c>
      <c r="B6" s="100">
        <f>B4-B5</f>
        <v/>
      </c>
    </row>
    <row r="7" ht="15" customHeight="1" s="37">
      <c r="A7" s="34" t="inlineStr">
        <is>
          <t>Transaction Count</t>
        </is>
      </c>
      <c r="B7" s="39">
        <f>COUNTIFS(tbl_Transactions[Date],"&gt;="&amp;B2,tbl_Transactions[Date],"&lt;"&amp;EDATE(B2,1))</f>
        <v/>
      </c>
    </row>
    <row r="8" ht="15" customHeight="1" s="37">
      <c r="A8" s="34" t="inlineStr">
        <is>
          <t>Average Transaction</t>
        </is>
      </c>
      <c r="B8" s="100">
        <f>IFERROR(AVERAGEIFS(tbl_Transactions[Amount],tbl_Transactions[Date],"&gt;="&amp;B2,tbl_Transactions[Date],"&lt;"&amp;EDATE(B2,1)),0)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I4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34" customWidth="1" style="37" min="1" max="1"/>
    <col width="22" customWidth="1" style="37" min="2" max="2"/>
    <col width="3" customWidth="1" style="37" min="3" max="3"/>
    <col width="16" customWidth="1" style="37" min="4" max="4"/>
    <col width="8" customWidth="1" style="37" min="5" max="5"/>
    <col width="16" customWidth="1" style="37" min="6" max="6"/>
    <col width="42" customWidth="1" style="37" min="7" max="7"/>
    <col width="12" customWidth="1" style="37" min="8" max="8"/>
    <col width="16" customWidth="1" style="37" min="9" max="9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Cash Runway (months) - TODO: not yet available, pending Cash Runway calc engine</t>
        </is>
      </c>
      <c r="B10" s="44" t="n"/>
    </row>
    <row r="11" ht="15" customHeight="1" s="37">
      <c r="A11" s="44" t="inlineStr">
        <is>
          <t>Overdue Bills Count - TODO: not yet available, pending Bills data layer</t>
        </is>
      </c>
      <c r="B11" s="44" t="n"/>
    </row>
    <row r="12" ht="15" customHeight="1" s="37">
      <c r="A12" s="44" t="inlineStr">
        <is>
          <t>Overdue Invoices Count - TODO: not yet available, pending Invoices data layer</t>
        </is>
      </c>
      <c r="B12" s="44" t="n"/>
    </row>
    <row r="14" ht="15" customHeight="1" s="37">
      <c r="A14" s="75" t="inlineStr">
        <is>
          <t>SECTION 2: INTERMEDIATE CALCULATIONS</t>
        </is>
      </c>
    </row>
    <row r="15" ht="15" customHeight="1" s="37">
      <c r="A15" s="40" t="inlineStr">
        <is>
          <t>Has Activity This Month</t>
        </is>
      </c>
      <c r="B15" s="42">
        <f>IF(B6&gt;0,1,0)</f>
        <v/>
      </c>
    </row>
    <row r="16" ht="15" customHeight="1" s="37">
      <c r="A16" s="40" t="inlineStr">
        <is>
          <t>Cash Flow Ratio (Money In / Money Out)</t>
        </is>
      </c>
      <c r="B16" s="45">
        <f>IFERROR(B3/B4,IF(B3&gt;0,999,0))</f>
        <v/>
      </c>
    </row>
    <row r="18" ht="15" customHeight="1" s="37">
      <c r="A18" s="75" t="inlineStr">
        <is>
          <t>SECTION 3: THRESHOLD EVALUATION (weighted scoring)</t>
        </is>
      </c>
    </row>
    <row r="19" ht="15" customHeight="1" s="37">
      <c r="A19" s="40" t="inlineStr">
        <is>
          <t>Cash Flow Score (0-50) - REAL</t>
        </is>
      </c>
      <c r="B19" s="42">
        <f>IF(B16&gt;=1.5,50,IF(B16&gt;=1.1,40,IF(B16&gt;=0.9,28,IF(B16&gt;=0.6,16,5))))</f>
        <v/>
      </c>
    </row>
    <row r="20" ht="15" customHeight="1" s="37">
      <c r="A20" s="40" t="inlineStr">
        <is>
          <t>Activity Score (0-10) - REAL</t>
        </is>
      </c>
      <c r="B20" s="42">
        <f>IF(B15=1,10,0)</f>
        <v/>
      </c>
    </row>
    <row r="21" ht="15" customHeight="1" s="37">
      <c r="A21" s="44" t="inlineStr">
        <is>
          <t>Cash Runway Score (0-25) - PLACEHOLDER, not yet implemented</t>
        </is>
      </c>
      <c r="B21" s="46" t="n">
        <v>0</v>
      </c>
    </row>
    <row r="22" ht="15" customHeight="1" s="37">
      <c r="A22" s="44" t="inlineStr">
        <is>
          <t>Bills Score (0-10) - PLACEHOLDER, not yet implemented</t>
        </is>
      </c>
      <c r="B22" s="46" t="n">
        <v>0</v>
      </c>
    </row>
    <row r="23" ht="15" customHeight="1" s="37">
      <c r="A23" s="44" t="inlineStr">
        <is>
          <t>Invoice Score (0-5) - PLACEHOLDER, not yet implemented</t>
        </is>
      </c>
      <c r="B23" s="46" t="n">
        <v>0</v>
      </c>
    </row>
    <row r="24" ht="15" customHeight="1" s="37">
      <c r="A24" s="40" t="inlineStr">
        <is>
          <t>Partial Score (Cash Flow + Activity only - drives State today)</t>
        </is>
      </c>
      <c r="B24" s="42">
        <f>B19+B20</f>
        <v/>
      </c>
    </row>
    <row r="25" ht="15" customHeight="1" s="37">
      <c r="A25" s="40" t="inlineStr">
        <is>
          <t>Total Score (all 5 components - nominal 0-100, not yet meaningful)</t>
        </is>
      </c>
      <c r="B25" s="42">
        <f>B19+B20+B21+B22+B23</f>
        <v/>
      </c>
    </row>
    <row r="26" ht="15" customHeight="1" s="37">
      <c r="A26" s="40" t="inlineStr">
        <is>
          <t>Health State (raw)</t>
        </is>
      </c>
      <c r="B26" s="40">
        <f>IF(B15=0,"Getting started",IF(B24&gt;=55,"Excellent",IF(B24&gt;=45,"Good",IF(B24&gt;=32,"Fair",IF(B24&gt;=20,"Warning","Critical")))))</f>
        <v/>
      </c>
    </row>
    <row r="27" ht="15" customHeight="1" s="37">
      <c r="A27" s="40" t="inlineStr">
        <is>
          <t>Health Score (raw, -1 sentinel for Getting started)</t>
        </is>
      </c>
      <c r="B27" s="42">
        <f>IF(B15=0,-1,B25)</f>
        <v/>
      </c>
    </row>
    <row r="29" ht="15" customHeight="1" s="37">
      <c r="A29" s="75" t="inlineStr">
        <is>
          <t>SECTION 4: OUTPUT VALUES</t>
        </is>
      </c>
    </row>
    <row r="30" ht="15" customHeight="1" s="37">
      <c r="A30" s="40" t="inlineStr">
        <is>
          <t>Health State (final)</t>
        </is>
      </c>
      <c r="B30" s="40">
        <f>B26</f>
        <v/>
      </c>
    </row>
    <row r="31" ht="15" customHeight="1" s="37">
      <c r="A31" s="40" t="inlineStr">
        <is>
          <t>Health Score (final)</t>
        </is>
      </c>
      <c r="B31" s="42">
        <f>B27</f>
        <v/>
      </c>
    </row>
    <row r="32" ht="15" customHeight="1" s="37">
      <c r="A32" s="40" t="inlineStr">
        <is>
          <t>Health Title</t>
        </is>
      </c>
      <c r="B32" s="40">
        <f>INDEX($F$40:$F$45,MATCH($B$26,$D$40:$D$45,0))</f>
        <v/>
      </c>
    </row>
    <row r="33" ht="15" customHeight="1" s="37">
      <c r="A33" s="40" t="inlineStr">
        <is>
          <t>Health Subtitle</t>
        </is>
      </c>
      <c r="B33" s="40">
        <f>INDEX($G$40:$G$45,MATCH($B$26,$D$40:$D$45,0))</f>
        <v/>
      </c>
    </row>
    <row r="34" ht="15" customHeight="1" s="37">
      <c r="A34" s="40" t="inlineStr">
        <is>
          <t>Health Color</t>
        </is>
      </c>
      <c r="B34" s="40">
        <f>INDEX($H$40:$H$45,MATCH($B$26,$D$40:$D$45,0))</f>
        <v/>
      </c>
    </row>
    <row r="35" ht="15" customHeight="1" s="37">
      <c r="A35" s="40" t="inlineStr">
        <is>
          <t>Health Icon</t>
        </is>
      </c>
      <c r="B35" s="40">
        <f>INDEX($I$40:$I$45,MATCH($B$26,$D$40:$D$45,0))</f>
        <v/>
      </c>
    </row>
    <row r="38" ht="15" customHeight="1" s="37">
      <c r="D38" s="76" t="inlineStr">
        <is>
          <t>Reference: state lookup table (Section 4 support data)</t>
        </is>
      </c>
    </row>
    <row r="39" ht="15" customHeight="1" s="37">
      <c r="D39" s="34" t="inlineStr">
        <is>
          <t>State</t>
        </is>
      </c>
      <c r="E39" s="34" t="inlineStr">
        <is>
          <t>Representative Score</t>
        </is>
      </c>
      <c r="F39" s="34" t="inlineStr">
        <is>
          <t>Title</t>
        </is>
      </c>
      <c r="G39" s="34" t="inlineStr">
        <is>
          <t>Subtitle</t>
        </is>
      </c>
      <c r="H39" s="34" t="inlineStr">
        <is>
          <t>Color</t>
        </is>
      </c>
      <c r="I39" s="34" t="inlineStr">
        <is>
          <t>Icon</t>
        </is>
      </c>
    </row>
    <row r="40" ht="15" customHeight="1" s="37">
      <c r="D40" t="inlineStr">
        <is>
          <t>Getting started</t>
        </is>
      </c>
      <c r="E40" t="n">
        <v>-1</v>
      </c>
      <c r="F40" t="inlineStr">
        <is>
          <t>Getting started</t>
        </is>
      </c>
      <c r="G40" t="inlineStr">
        <is>
          <t>Log your first transaction to see your business health</t>
        </is>
      </c>
      <c r="H40" t="inlineStr">
        <is>
          <t>Neutral</t>
        </is>
      </c>
      <c r="I40" t="inlineStr">
        <is>
          <t>flag</t>
        </is>
      </c>
    </row>
    <row r="41" ht="15" customHeight="1" s="37">
      <c r="D41" t="inlineStr">
        <is>
          <t>Critical</t>
        </is>
      </c>
      <c r="E41" t="n">
        <v>15</v>
      </c>
      <c r="F41" t="inlineStr">
        <is>
          <t>Needs attention</t>
        </is>
      </c>
      <c r="G41" t="inlineStr">
        <is>
          <t>Spending is significantly outpacing income this month</t>
        </is>
      </c>
      <c r="H41" t="inlineStr">
        <is>
          <t>Critical</t>
        </is>
      </c>
      <c r="I41" t="inlineStr">
        <is>
          <t>alert-triangle</t>
        </is>
      </c>
    </row>
    <row r="42" ht="15" customHeight="1" s="37">
      <c r="D42" t="inlineStr">
        <is>
          <t>Warning</t>
        </is>
      </c>
      <c r="E42" t="n">
        <v>26</v>
      </c>
      <c r="F42" t="inlineStr">
        <is>
          <t>Caution</t>
        </is>
      </c>
      <c r="G42" t="inlineStr">
        <is>
          <t>Spending is higher than income this month</t>
        </is>
      </c>
      <c r="H42" t="inlineStr">
        <is>
          <t>Warning</t>
        </is>
      </c>
      <c r="I42" t="inlineStr">
        <is>
          <t>alert-circle</t>
        </is>
      </c>
    </row>
    <row r="43" ht="15" customHeight="1" s="37">
      <c r="D43" t="inlineStr">
        <is>
          <t>Fair</t>
        </is>
      </c>
      <c r="E43" t="n">
        <v>38</v>
      </c>
      <c r="F43" t="inlineStr">
        <is>
          <t>Steady</t>
        </is>
      </c>
      <c r="G43" t="inlineStr">
        <is>
          <t>Income and spending are about even this month</t>
        </is>
      </c>
      <c r="H43" t="inlineStr">
        <is>
          <t>Neutral</t>
        </is>
      </c>
      <c r="I43" t="inlineStr">
        <is>
          <t>minus-circle</t>
        </is>
      </c>
    </row>
    <row r="44" ht="15" customHeight="1" s="37">
      <c r="D44" t="inlineStr">
        <is>
          <t>Good</t>
        </is>
      </c>
      <c r="E44" t="n">
        <v>50</v>
      </c>
      <c r="F44" t="inlineStr">
        <is>
          <t>Good</t>
        </is>
      </c>
      <c r="G44" t="inlineStr">
        <is>
          <t>Income is ahead of spending this month</t>
        </is>
      </c>
      <c r="H44" t="inlineStr">
        <is>
          <t>Success</t>
        </is>
      </c>
      <c r="I44" t="inlineStr">
        <is>
          <t>trending-up</t>
        </is>
      </c>
    </row>
    <row r="45" ht="15" customHeight="1" s="37">
      <c r="D45" t="inlineStr">
        <is>
          <t>Excellent</t>
        </is>
      </c>
      <c r="E45" t="n">
        <v>60</v>
      </c>
      <c r="F45" t="inlineStr">
        <is>
          <t>Excellent</t>
        </is>
      </c>
      <c r="G45" t="inlineStr">
        <is>
          <t>Income is well ahead of spending this month</t>
        </is>
      </c>
      <c r="H45" t="inlineStr">
        <is>
          <t>Success</t>
        </is>
      </c>
      <c r="I45" t="inlineStr">
        <is>
          <t>star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2:B2"/>
    <mergeCell ref="A29:B29"/>
    <mergeCell ref="D38:I38"/>
    <mergeCell ref="A14:B14"/>
    <mergeCell ref="A18:B18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H3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4" customWidth="1" style="37" min="1" max="1"/>
    <col width="10" customWidth="1" style="37" min="2" max="2"/>
    <col width="8" customWidth="1" style="37" min="3" max="3"/>
    <col width="30" customWidth="1" style="37" min="4" max="4"/>
    <col width="46" customWidth="1" style="37" min="5" max="5"/>
    <col width="12" customWidth="1" style="37" min="6" max="6"/>
    <col width="16" customWidth="1" style="37" min="7" max="7"/>
    <col width="22" customWidth="1" style="37" min="8" max="8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4" t="inlineStr">
        <is>
          <t>Overdue Bills Count</t>
        </is>
      </c>
      <c r="B7" s="44">
        <f>SUMPRODUCT((tbl_Bills[Status]&lt;&gt;"Paid")*(tbl_Bills[DueDate]&lt;&gt;"")*(tbl_Bills[DueDate]&lt;TODAY()))</f>
        <v/>
      </c>
    </row>
    <row r="8" ht="15" customHeight="1" s="37">
      <c r="A8" s="44" t="inlineStr">
        <is>
          <t>Overdue Invoices Count</t>
        </is>
      </c>
      <c r="B8" s="44">
        <f>SUMPRODUCT((tbl_Invoices[Status]&lt;&gt;"Paid")*(tbl_Invoices[Status]&lt;&gt;"Void")*(tbl_Invoices[Status]&lt;&gt;"Draft")*(tbl_Invoices[DueDate]&lt;&gt;"")*(tbl_Invoices[DueDate]&lt;TODAY()))</f>
        <v/>
      </c>
    </row>
    <row r="9" ht="15" customHeight="1" s="37">
      <c r="A9" s="44" t="inlineStr">
        <is>
          <t>Upcoming Loan Payments - TODO: not yet available, pending Loans data layer</t>
        </is>
      </c>
      <c r="B9" s="44" t="n"/>
    </row>
    <row r="11" ht="15" customHeight="1" s="37">
      <c r="A11" s="75" t="inlineStr">
        <is>
          <t>SECTION 2: RULE EVALUATION</t>
        </is>
      </c>
    </row>
    <row r="12" ht="15" customHeight="1" s="37">
      <c r="A12" s="34" t="inlineStr">
        <is>
          <t>RuleID</t>
        </is>
      </c>
      <c r="B12" s="34" t="inlineStr">
        <is>
          <t>Priority</t>
        </is>
      </c>
      <c r="C12" s="34" t="inlineStr">
        <is>
          <t>Fired</t>
        </is>
      </c>
      <c r="D12" s="34" t="inlineStr">
        <is>
          <t>Title</t>
        </is>
      </c>
      <c r="E12" s="34" t="inlineStr">
        <is>
          <t>Description</t>
        </is>
      </c>
      <c r="F12" s="34" t="inlineStr">
        <is>
          <t>Severity</t>
        </is>
      </c>
      <c r="G12" s="34" t="inlineStr">
        <is>
          <t>Icon</t>
        </is>
      </c>
      <c r="H12" s="34" t="inlineStr">
        <is>
          <t>Source</t>
        </is>
      </c>
    </row>
    <row r="13" ht="15" customHeight="1" s="37">
      <c r="A13" s="47" t="inlineStr">
        <is>
          <t>R1</t>
        </is>
      </c>
      <c r="B13" s="47" t="n">
        <v>1</v>
      </c>
      <c r="C13" s="47">
        <f>IF($B$6=0,1,0)</f>
        <v/>
      </c>
      <c r="D13" s="47" t="inlineStr">
        <is>
          <t>Get started</t>
        </is>
      </c>
      <c r="E13" s="47" t="inlineStr">
        <is>
          <t>No transactions logged yet this month. Add one to see your business health.</t>
        </is>
      </c>
      <c r="F13" s="47" t="inlineStr">
        <is>
          <t>Info</t>
        </is>
      </c>
      <c r="G13" s="47" t="inlineStr">
        <is>
          <t>flag</t>
        </is>
      </c>
      <c r="H13" s="47" t="inlineStr">
        <is>
          <t>_calc_Core</t>
        </is>
      </c>
    </row>
    <row r="14" ht="15" customHeight="1" s="37">
      <c r="A14" s="47" t="inlineStr">
        <is>
          <t>R2</t>
        </is>
      </c>
      <c r="B14" s="47" t="n">
        <v>2</v>
      </c>
      <c r="C14" s="47">
        <f>IF(AND($B$3=0,$B$6&gt;0),1,0)</f>
        <v/>
      </c>
      <c r="D14" s="47" t="inlineStr">
        <is>
          <t>No income logged</t>
        </is>
      </c>
      <c r="E14" s="47" t="inlineStr">
        <is>
          <t>You haven't logged any income this month yet.</t>
        </is>
      </c>
      <c r="F14" s="47" t="inlineStr">
        <is>
          <t>Critical</t>
        </is>
      </c>
      <c r="G14" s="47" t="inlineStr">
        <is>
          <t>alert-triangle</t>
        </is>
      </c>
      <c r="H14" s="47" t="inlineStr">
        <is>
          <t>_calc_Core</t>
        </is>
      </c>
    </row>
    <row r="15" ht="15" customHeight="1" s="37">
      <c r="A15" s="47" t="inlineStr">
        <is>
          <t>R3</t>
        </is>
      </c>
      <c r="B15" s="47" t="n">
        <v>3</v>
      </c>
      <c r="C15" s="47">
        <f>IF(AND($B$5&lt;0,$B$3&gt;0),1,0)</f>
        <v/>
      </c>
      <c r="D15" s="47" t="inlineStr">
        <is>
          <t>Spending more than you're making</t>
        </is>
      </c>
      <c r="E15" s="47" t="inlineStr">
        <is>
          <t>Your expenses this month are higher than your income so far.</t>
        </is>
      </c>
      <c r="F15" s="47" t="inlineStr">
        <is>
          <t>Warning</t>
        </is>
      </c>
      <c r="G15" s="47" t="inlineStr">
        <is>
          <t>alert-circle</t>
        </is>
      </c>
      <c r="H15" s="47" t="inlineStr">
        <is>
          <t>_calc_Core</t>
        </is>
      </c>
    </row>
    <row r="16" ht="15" customHeight="1" s="37">
      <c r="A16" s="47" t="inlineStr">
        <is>
          <t>R4</t>
        </is>
      </c>
      <c r="B16" s="47" t="n">
        <v>4</v>
      </c>
      <c r="C16" s="47">
        <f>IF(AND($B$4=0,$B$6&gt;0),1,0)</f>
        <v/>
      </c>
      <c r="D16" s="47" t="inlineStr">
        <is>
          <t>No expenses logged</t>
        </is>
      </c>
      <c r="E16" s="47" t="inlineStr">
        <is>
          <t>You've logged income this month but no expenses yet - worth double-checking you haven't missed any.</t>
        </is>
      </c>
      <c r="F16" s="47" t="inlineStr">
        <is>
          <t>Info</t>
        </is>
      </c>
      <c r="G16" s="47" t="inlineStr">
        <is>
          <t>info-circle</t>
        </is>
      </c>
      <c r="H16" s="47" t="inlineStr">
        <is>
          <t>_calc_Core</t>
        </is>
      </c>
    </row>
    <row r="17" ht="15" customHeight="1" s="37">
      <c r="A17" s="47" t="inlineStr">
        <is>
          <t>R5</t>
        </is>
      </c>
      <c r="B17" s="47" t="n">
        <v>5</v>
      </c>
      <c r="C17" s="47">
        <f>IF($B$7&gt;0,1,0)</f>
        <v/>
      </c>
      <c r="D17" s="47" t="inlineStr">
        <is>
          <t>Overdue bills</t>
        </is>
      </c>
      <c r="E17" s="47">
        <f>"You have "&amp;$B$7&amp;" overdue bill"&amp;IF($B$7=1,"","s")&amp;" totaling $"&amp;TEXT(SUMPRODUCT((tbl_Bills[Status]&lt;&gt;"Paid")*(tbl_Bills[DueDate]&lt;&gt;"")*(tbl_Bills[DueDate]&lt;TODAY())*tbl_Bills[Amount]),"#,##0")&amp;"."</f>
        <v/>
      </c>
      <c r="F17" s="47" t="inlineStr">
        <is>
          <t>Critical</t>
        </is>
      </c>
      <c r="G17" s="47" t="inlineStr">
        <is>
          <t>alert-triangle</t>
        </is>
      </c>
      <c r="H17" s="47" t="inlineStr">
        <is>
          <t>tbl_Bills</t>
        </is>
      </c>
    </row>
    <row r="18" ht="15" customHeight="1" s="37">
      <c r="A18" s="47" t="inlineStr">
        <is>
          <t>R6</t>
        </is>
      </c>
      <c r="B18" s="47" t="n">
        <v>6</v>
      </c>
      <c r="C18" s="47">
        <f>IF($B$8&gt;0,1,0)</f>
        <v/>
      </c>
      <c r="D18" s="47" t="inlineStr">
        <is>
          <t>Overdue invoices</t>
        </is>
      </c>
      <c r="E18" s="47">
        <f>"You have "&amp;$B$8&amp;" overdue invoice"&amp;IF($B$8=1,"","s")&amp;" worth $"&amp;TEXT(SUMPRODUCT((tbl_Invoices[Status]&lt;&gt;"Paid")*(tbl_Invoices[Status]&lt;&gt;"Void")*(tbl_Invoices[Status]&lt;&gt;"Draft")*(tbl_Invoices[DueDate]&lt;&gt;"")*(tbl_Invoices[DueDate]&lt;TODAY())*tbl_Invoices[Amount]),"#,##0")&amp;"."</f>
        <v/>
      </c>
      <c r="F18" s="47" t="inlineStr">
        <is>
          <t>Critical</t>
        </is>
      </c>
      <c r="G18" s="47" t="inlineStr">
        <is>
          <t>alert-triangle</t>
        </is>
      </c>
      <c r="H18" s="47" t="inlineStr">
        <is>
          <t>tbl_Invoices</t>
        </is>
      </c>
    </row>
    <row r="19" ht="15" customHeight="1" s="37">
      <c r="A19" s="48" t="inlineStr">
        <is>
          <t>R7</t>
        </is>
      </c>
      <c r="B19" s="48" t="n">
        <v>7</v>
      </c>
      <c r="C19" s="48" t="n">
        <v>0</v>
      </c>
      <c r="D19" s="48" t="inlineStr">
        <is>
          <t>TODO: Upcoming loan payment</t>
        </is>
      </c>
      <c r="E19" s="48" t="inlineStr">
        <is>
          <t>TODO: not yet available, pending Loans data layer</t>
        </is>
      </c>
      <c r="F19" s="48" t="inlineStr">
        <is>
          <t>TODO</t>
        </is>
      </c>
      <c r="G19" s="48" t="inlineStr">
        <is>
          <t>TODO</t>
        </is>
      </c>
      <c r="H19" s="48" t="inlineStr">
        <is>
          <t>tbl_Loans (not yet built)</t>
        </is>
      </c>
    </row>
    <row r="21" ht="15" customHeight="1" s="37">
      <c r="A21" s="75" t="inlineStr">
        <is>
          <t>SECTION 3: PRIORITY SORTING</t>
        </is>
      </c>
    </row>
    <row r="22" ht="15" customHeight="1" s="37">
      <c r="A22" s="40" t="inlineStr">
        <is>
          <t>Slot 1 Priority</t>
        </is>
      </c>
      <c r="B22" s="40">
        <f t="array" ref="B22">IFERROR(SMALL(IF($C$13:$C$19=1,$B$13:$B$19),1),"")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IFERROR(SMALL(IF($C$13:$C$19=1,$B$13:$B$19),2),"")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IFERROR(SMALL(IF($C$13:$C$19=1,$B$13:$B$19),3),"")</f>
        <v/>
      </c>
    </row>
    <row r="25" ht="15" customHeight="1" s="37">
      <c r="A25" s="40" t="inlineStr">
        <is>
          <t>Slot 4 Priority</t>
        </is>
      </c>
      <c r="B25" s="40">
        <f t="array" ref="B25">IFERROR(SMALL(IF($C$13:$C$19=1,$B$13:$B$19),4),"")</f>
        <v/>
      </c>
    </row>
    <row r="26" ht="15" customHeight="1" s="37">
      <c r="A26" s="40" t="inlineStr">
        <is>
          <t>Slot 5 Priority</t>
        </is>
      </c>
      <c r="B26" s="40">
        <f t="array" ref="B26">IFERROR(SMALL(IF($C$13:$C$19=1,$B$13:$B$19),5),"")</f>
        <v/>
      </c>
    </row>
    <row r="28" ht="15" customHeight="1" s="37">
      <c r="A28" s="75" t="inlineStr">
        <is>
          <t>SECTION 4: OUTPUT VALUES</t>
        </is>
      </c>
    </row>
    <row r="29" ht="15" customHeight="1" s="37">
      <c r="A29" s="34" t="inlineStr">
        <is>
          <t>Output Item</t>
        </is>
      </c>
      <c r="B29" s="34" t="inlineStr">
        <is>
          <t>Priority</t>
        </is>
      </c>
      <c r="C29" s="34" t="inlineStr">
        <is>
          <t>Title</t>
        </is>
      </c>
      <c r="D29" s="34" t="inlineStr">
        <is>
          <t>Description</t>
        </is>
      </c>
      <c r="E29" s="34" t="inlineStr">
        <is>
          <t>Severity</t>
        </is>
      </c>
      <c r="F29" s="34" t="inlineStr">
        <is>
          <t>Icon</t>
        </is>
      </c>
      <c r="G29" s="34" t="inlineStr">
        <is>
          <t>Source</t>
        </is>
      </c>
    </row>
    <row r="30" ht="15" customHeight="1" s="37">
      <c r="A30" s="49" t="inlineStr">
        <is>
          <t>Item 1</t>
        </is>
      </c>
      <c r="B30" s="49">
        <f>B22</f>
        <v/>
      </c>
      <c r="C30" s="49">
        <f>IFERROR(INDEX($D$13:$D$19,MATCH($B30,$B$13:$B$19,0)),"")</f>
        <v/>
      </c>
      <c r="D30" s="49">
        <f>IFERROR(INDEX($E$13:$E$19,MATCH($B30,$B$13:$B$19,0)),"")</f>
        <v/>
      </c>
      <c r="E30" s="49">
        <f>IFERROR(INDEX($F$13:$F$19,MATCH($B30,$B$13:$B$19,0)),"")</f>
        <v/>
      </c>
      <c r="F30" s="49">
        <f>IFERROR(INDEX($G$13:$G$19,MATCH($B30,$B$13:$B$19,0)),"")</f>
        <v/>
      </c>
      <c r="G30" s="49">
        <f>IFERROR(INDEX($H$13:$H$19,MATCH($B30,$B$13:$B$19,0)),"")</f>
        <v/>
      </c>
    </row>
    <row r="31" ht="15" customHeight="1" s="37">
      <c r="A31" s="49" t="inlineStr">
        <is>
          <t>Item 2</t>
        </is>
      </c>
      <c r="B31" s="49">
        <f>B23</f>
        <v/>
      </c>
      <c r="C31" s="49">
        <f>IFERROR(INDEX($D$13:$D$19,MATCH($B31,$B$13:$B$19,0)),"")</f>
        <v/>
      </c>
      <c r="D31" s="49">
        <f>IFERROR(INDEX($E$13:$E$19,MATCH($B31,$B$13:$B$19,0)),"")</f>
        <v/>
      </c>
      <c r="E31" s="49">
        <f>IFERROR(INDEX($F$13:$F$19,MATCH($B31,$B$13:$B$19,0)),"")</f>
        <v/>
      </c>
      <c r="F31" s="49">
        <f>IFERROR(INDEX($G$13:$G$19,MATCH($B31,$B$13:$B$19,0)),"")</f>
        <v/>
      </c>
      <c r="G31" s="49">
        <f>IFERROR(INDEX($H$13:$H$19,MATCH($B31,$B$13:$B$19,0)),"")</f>
        <v/>
      </c>
    </row>
    <row r="32" ht="15" customHeight="1" s="37">
      <c r="A32" s="49" t="inlineStr">
        <is>
          <t>Item 3</t>
        </is>
      </c>
      <c r="B32" s="49">
        <f>B24</f>
        <v/>
      </c>
      <c r="C32" s="49">
        <f>IFERROR(INDEX($D$13:$D$19,MATCH($B32,$B$13:$B$19,0)),"")</f>
        <v/>
      </c>
      <c r="D32" s="49">
        <f>IFERROR(INDEX($E$13:$E$19,MATCH($B32,$B$13:$B$19,0)),"")</f>
        <v/>
      </c>
      <c r="E32" s="49">
        <f>IFERROR(INDEX($F$13:$F$19,MATCH($B32,$B$13:$B$19,0)),"")</f>
        <v/>
      </c>
      <c r="F32" s="49">
        <f>IFERROR(INDEX($G$13:$G$19,MATCH($B32,$B$13:$B$19,0)),"")</f>
        <v/>
      </c>
      <c r="G32" s="49">
        <f>IFERROR(INDEX($H$13:$H$19,MATCH($B32,$B$13:$B$19,0)),"")</f>
        <v/>
      </c>
    </row>
    <row r="33" ht="15" customHeight="1" s="37">
      <c r="A33" s="49" t="inlineStr">
        <is>
          <t>Item 4</t>
        </is>
      </c>
      <c r="B33" s="49">
        <f>B25</f>
        <v/>
      </c>
      <c r="C33" s="49">
        <f>IFERROR(INDEX($D$13:$D$19,MATCH($B33,$B$13:$B$19,0)),"")</f>
        <v/>
      </c>
      <c r="D33" s="49">
        <f>IFERROR(INDEX($E$13:$E$19,MATCH($B33,$B$13:$B$19,0)),"")</f>
        <v/>
      </c>
      <c r="E33" s="49">
        <f>IFERROR(INDEX($F$13:$F$19,MATCH($B33,$B$13:$B$19,0)),"")</f>
        <v/>
      </c>
      <c r="F33" s="49">
        <f>IFERROR(INDEX($G$13:$G$19,MATCH($B33,$B$13:$B$19,0)),"")</f>
        <v/>
      </c>
      <c r="G33" s="49">
        <f>IFERROR(INDEX($H$13:$H$19,MATCH($B33,$B$13:$B$19,0)),"")</f>
        <v/>
      </c>
    </row>
    <row r="34" ht="15" customHeight="1" s="37">
      <c r="A34" s="49" t="inlineStr">
        <is>
          <t>Item 5</t>
        </is>
      </c>
      <c r="B34" s="49">
        <f>B26</f>
        <v/>
      </c>
      <c r="C34" s="49">
        <f>IFERROR(INDEX($D$13:$D$19,MATCH($B34,$B$13:$B$19,0)),"")</f>
        <v/>
      </c>
      <c r="D34" s="49">
        <f>IFERROR(INDEX($E$13:$E$19,MATCH($B34,$B$13:$B$19,0)),"")</f>
        <v/>
      </c>
      <c r="E34" s="49">
        <f>IFERROR(INDEX($F$13:$F$19,MATCH($B34,$B$13:$B$19,0)),"")</f>
        <v/>
      </c>
      <c r="F34" s="49">
        <f>IFERROR(INDEX($G$13:$G$19,MATCH($B34,$B$13:$B$19,0)),"")</f>
        <v/>
      </c>
      <c r="G34" s="49">
        <f>IFERROR(INDEX($H$13:$H$19,MATCH($B34,$B$13:$B$19,0)),"")</f>
        <v/>
      </c>
    </row>
    <row r="35" ht="15" customHeight="1" s="37">
      <c r="A35" s="40" t="inlineStr">
        <is>
          <t>Item Count (total rules fired)</t>
        </is>
      </c>
      <c r="B35" s="42">
        <f>SUM($C$13:$C$19)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4">
    <mergeCell ref="A2:H2"/>
    <mergeCell ref="A21:H21"/>
    <mergeCell ref="A11:H11"/>
    <mergeCell ref="A28:G28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H77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6" customWidth="1" style="37" min="1" max="1"/>
    <col width="24" customWidth="1" style="37" min="2" max="2"/>
    <col width="8" customWidth="1" style="37" min="3" max="3"/>
    <col width="26" customWidth="1" style="37" min="4" max="4"/>
    <col width="50" customWidth="1" style="37" min="5" max="5"/>
    <col width="16" customWidth="1" style="37" min="6" max="6"/>
    <col width="14" customWidth="1" style="37" min="7" max="7"/>
    <col width="12" customWidth="1" style="37" min="8" max="8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Goal Progress</t>
        </is>
      </c>
      <c r="B10" s="50">
        <f>B77</f>
        <v/>
      </c>
    </row>
    <row r="12" ht="15" customHeight="1" s="37">
      <c r="A12" s="75" t="inlineStr">
        <is>
          <t>SECTION 2: RULE EVALUATION</t>
        </is>
      </c>
    </row>
    <row r="13" ht="15" customHeight="1" s="37">
      <c r="A13" s="34" t="inlineStr">
        <is>
          <t>RuleID</t>
        </is>
      </c>
      <c r="B13" s="34" t="inlineStr">
        <is>
          <t>Priority</t>
        </is>
      </c>
      <c r="C13" s="34" t="inlineStr">
        <is>
          <t>Fired</t>
        </is>
      </c>
      <c r="D13" s="34" t="inlineStr">
        <is>
          <t>Title</t>
        </is>
      </c>
      <c r="E13" s="34" t="inlineStr">
        <is>
          <t>Message</t>
        </is>
      </c>
      <c r="F13" s="34" t="inlineStr">
        <is>
          <t>InsightType</t>
        </is>
      </c>
      <c r="G13" s="34" t="inlineStr">
        <is>
          <t>SupportingValue</t>
        </is>
      </c>
      <c r="H13" s="34" t="inlineStr">
        <is>
          <t>Icon</t>
        </is>
      </c>
    </row>
    <row r="14" ht="15" customHeight="1" s="37">
      <c r="A14" s="47" t="inlineStr">
        <is>
          <t>R1</t>
        </is>
      </c>
      <c r="B14" s="47" t="n">
        <v>1</v>
      </c>
      <c r="C14" s="47">
        <f>IF(AND($B$6&gt;0,$B$71&gt;0),1,0)</f>
        <v/>
      </c>
      <c r="D14" s="47" t="inlineStr">
        <is>
          <t>Your biggest expense</t>
        </is>
      </c>
      <c r="E14" s="47">
        <f>"Your biggest expense this month was "&amp;$B$70&amp;" at $"&amp;TEXT($B$71,"#,##0")&amp;"."</f>
        <v/>
      </c>
      <c r="F14" s="47" t="inlineStr">
        <is>
          <t>Spending Pattern</t>
        </is>
      </c>
      <c r="G14" s="103">
        <f>$B$71</f>
        <v/>
      </c>
      <c r="H14" s="47" t="inlineStr">
        <is>
          <t>bar-chart</t>
        </is>
      </c>
    </row>
    <row r="15" ht="15" customHeight="1" s="37">
      <c r="A15" s="47" t="inlineStr">
        <is>
          <t>R2</t>
        </is>
      </c>
      <c r="B15" s="47" t="n">
        <v>2</v>
      </c>
      <c r="C15" s="47">
        <f>IF(AND($B$6&gt;0,$B$73&gt;0),1,0)</f>
        <v/>
      </c>
      <c r="D15" s="47" t="inlineStr">
        <is>
          <t>Your top vendor</t>
        </is>
      </c>
      <c r="E15" s="47">
        <f>"You paid "&amp;$B$72&amp;" more than anyone else this month, totaling $"&amp;TEXT($B$73,"#,##0")&amp;"."</f>
        <v/>
      </c>
      <c r="F15" s="47" t="inlineStr">
        <is>
          <t>Vendor Pattern</t>
        </is>
      </c>
      <c r="G15" s="103">
        <f>$B$73</f>
        <v/>
      </c>
      <c r="H15" s="47" t="inlineStr">
        <is>
          <t>briefcase</t>
        </is>
      </c>
    </row>
    <row r="16" ht="15" customHeight="1" s="37">
      <c r="A16" s="47" t="inlineStr">
        <is>
          <t>R3</t>
        </is>
      </c>
      <c r="B16" s="47" t="n">
        <v>3</v>
      </c>
      <c r="C16" s="47">
        <f>IF($B$3&gt;0,1,0)</f>
        <v/>
      </c>
      <c r="D16" s="47" t="inlineStr">
        <is>
          <t>Income this month</t>
        </is>
      </c>
      <c r="E16" s="47">
        <f>"You've brought in $"&amp;TEXT($B$3,"#,##0")&amp;" so far this month."</f>
        <v/>
      </c>
      <c r="F16" s="47" t="inlineStr">
        <is>
          <t>Summary</t>
        </is>
      </c>
      <c r="G16" s="103">
        <f>$B$3</f>
        <v/>
      </c>
      <c r="H16" s="47" t="inlineStr">
        <is>
          <t>trending-up</t>
        </is>
      </c>
    </row>
    <row r="17" ht="15" customHeight="1" s="37">
      <c r="A17" s="47" t="inlineStr">
        <is>
          <t>R4</t>
        </is>
      </c>
      <c r="B17" s="47" t="n">
        <v>4</v>
      </c>
      <c r="C17" s="47">
        <f>IF($B$6&gt;0,1,0)</f>
        <v/>
      </c>
      <c r="D17" s="47" t="inlineStr">
        <is>
          <t>Average transaction size</t>
        </is>
      </c>
      <c r="E17" s="47">
        <f>"Your average transaction this month is $"&amp;TEXT($B$7,"#,##0")&amp;"."</f>
        <v/>
      </c>
      <c r="F17" s="47" t="inlineStr">
        <is>
          <t>Summary</t>
        </is>
      </c>
      <c r="G17" s="103">
        <f>$B$7</f>
        <v/>
      </c>
      <c r="H17" s="47" t="inlineStr">
        <is>
          <t>activity</t>
        </is>
      </c>
    </row>
    <row r="18" ht="15" customHeight="1" s="37">
      <c r="A18" s="47" t="inlineStr">
        <is>
          <t>R5</t>
        </is>
      </c>
      <c r="B18" s="47" t="n">
        <v>5</v>
      </c>
      <c r="C18" s="47">
        <f>IF($B$6&gt;0,1,0)</f>
        <v/>
      </c>
      <c r="D18" s="47" t="inlineStr">
        <is>
          <t>Transactions logged</t>
        </is>
      </c>
      <c r="E18" s="47">
        <f>"You've logged "&amp;$B$6&amp;" transaction"&amp;IF($B$6=1,"","s")&amp;" this month."</f>
        <v/>
      </c>
      <c r="F18" s="47" t="inlineStr">
        <is>
          <t>Activity</t>
        </is>
      </c>
      <c r="G18" s="52">
        <f>$B$6</f>
        <v/>
      </c>
      <c r="H18" s="47" t="inlineStr">
        <is>
          <t>list</t>
        </is>
      </c>
    </row>
    <row r="19" ht="15" customHeight="1" s="37">
      <c r="A19" s="47" t="inlineStr">
        <is>
          <t>R6</t>
        </is>
      </c>
      <c r="B19" s="47" t="n">
        <v>6</v>
      </c>
      <c r="C19" s="47">
        <f>IF($B$74&lt;&gt;"",1,0)</f>
        <v/>
      </c>
      <c r="D19" s="47" t="inlineStr">
        <is>
          <t>Goal progress</t>
        </is>
      </c>
      <c r="E19" s="47">
        <f>"You are "&amp;TEXT($B$77,"0%")&amp;" of the way to your "&amp;$B$74&amp;" goal."</f>
        <v/>
      </c>
      <c r="F19" s="47" t="inlineStr">
        <is>
          <t>Goal Progress</t>
        </is>
      </c>
      <c r="G19" s="53">
        <f>$B$77</f>
        <v/>
      </c>
      <c r="H19" s="47" t="inlineStr">
        <is>
          <t>target</t>
        </is>
      </c>
    </row>
    <row r="21" ht="15" customHeight="1" s="37">
      <c r="A21" s="75" t="inlineStr">
        <is>
          <t>SECTION 3: RANKING (Top 3)</t>
        </is>
      </c>
    </row>
    <row r="22" ht="15" customHeight="1" s="37">
      <c r="A22" s="40" t="inlineStr">
        <is>
          <t>Slot 1 Priority</t>
        </is>
      </c>
      <c r="B22" s="40">
        <f t="array" ref="B22">IFERROR(SMALL(IF($C$14:$C$19=1,$B$14:$B$19),1),"")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IFERROR(SMALL(IF($C$14:$C$19=1,$B$14:$B$19),2),"")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IFERROR(SMALL(IF($C$14:$C$19=1,$B$14:$B$19),3),"")</f>
        <v/>
      </c>
    </row>
    <row r="26" ht="15" customHeight="1" s="37">
      <c r="A26" s="75" t="inlineStr">
        <is>
          <t>SECTION 4: OUTPUT VALUES</t>
        </is>
      </c>
    </row>
    <row r="27" ht="15" customHeight="1" s="37">
      <c r="A27" s="34" t="inlineStr">
        <is>
          <t>Output Item</t>
        </is>
      </c>
      <c r="B27" s="34" t="inlineStr">
        <is>
          <t>Priority</t>
        </is>
      </c>
      <c r="C27" s="34" t="inlineStr">
        <is>
          <t>Title</t>
        </is>
      </c>
      <c r="D27" s="34" t="inlineStr">
        <is>
          <t>Message</t>
        </is>
      </c>
      <c r="E27" s="34" t="inlineStr">
        <is>
          <t>InsightType</t>
        </is>
      </c>
      <c r="F27" s="34" t="inlineStr">
        <is>
          <t>SupportingValue</t>
        </is>
      </c>
      <c r="G27" s="34" t="inlineStr">
        <is>
          <t>Icon</t>
        </is>
      </c>
      <c r="H27" s="34" t="inlineStr">
        <is>
          <t>DisplayOrder</t>
        </is>
      </c>
    </row>
    <row r="28" ht="15" customHeight="1" s="37">
      <c r="A28" s="49" t="inlineStr">
        <is>
          <t>Item 1</t>
        </is>
      </c>
      <c r="B28" s="49">
        <f>B22</f>
        <v/>
      </c>
      <c r="C28" s="49">
        <f>IFERROR(INDEX($D$14:$D$19,MATCH($B28,$B$14:$B$19,0)),"")</f>
        <v/>
      </c>
      <c r="D28" s="49">
        <f>IFERROR(INDEX($E$14:$E$19,MATCH($B28,$B$14:$B$19,0)),"")</f>
        <v/>
      </c>
      <c r="E28" s="49">
        <f>IFERROR(INDEX($F$14:$F$19,MATCH($B28,$B$14:$B$19,0)),"")</f>
        <v/>
      </c>
      <c r="F28" s="104">
        <f>IFERROR(INDEX($G$14:$G$19,MATCH($B28,$B$14:$B$19,0)),"")</f>
        <v/>
      </c>
      <c r="G28" s="49">
        <f>IFERROR(INDEX($H$14:$H$19,MATCH($B28,$B$14:$B$19,0)),"")</f>
        <v/>
      </c>
      <c r="H28" s="49" t="n">
        <v>1</v>
      </c>
    </row>
    <row r="29" ht="15" customHeight="1" s="37">
      <c r="A29" s="49" t="inlineStr">
        <is>
          <t>Item 2</t>
        </is>
      </c>
      <c r="B29" s="49">
        <f>B23</f>
        <v/>
      </c>
      <c r="C29" s="49">
        <f>IFERROR(INDEX($D$14:$D$19,MATCH($B29,$B$14:$B$19,0)),"")</f>
        <v/>
      </c>
      <c r="D29" s="49">
        <f>IFERROR(INDEX($E$14:$E$19,MATCH($B29,$B$14:$B$19,0)),"")</f>
        <v/>
      </c>
      <c r="E29" s="49">
        <f>IFERROR(INDEX($F$14:$F$19,MATCH($B29,$B$14:$B$19,0)),"")</f>
        <v/>
      </c>
      <c r="F29" s="104">
        <f>IFERROR(INDEX($G$14:$G$19,MATCH($B29,$B$14:$B$19,0)),"")</f>
        <v/>
      </c>
      <c r="G29" s="49">
        <f>IFERROR(INDEX($H$14:$H$19,MATCH($B29,$B$14:$B$19,0)),"")</f>
        <v/>
      </c>
      <c r="H29" s="49" t="n">
        <v>2</v>
      </c>
    </row>
    <row r="30" ht="15" customHeight="1" s="37">
      <c r="A30" s="49" t="inlineStr">
        <is>
          <t>Item 3</t>
        </is>
      </c>
      <c r="B30" s="49">
        <f>B24</f>
        <v/>
      </c>
      <c r="C30" s="49">
        <f>IFERROR(INDEX($D$14:$D$19,MATCH($B30,$B$14:$B$19,0)),"")</f>
        <v/>
      </c>
      <c r="D30" s="49">
        <f>IFERROR(INDEX($E$14:$E$19,MATCH($B30,$B$14:$B$19,0)),"")</f>
        <v/>
      </c>
      <c r="E30" s="49">
        <f>IFERROR(INDEX($F$14:$F$19,MATCH($B30,$B$14:$B$19,0)),"")</f>
        <v/>
      </c>
      <c r="F30" s="104">
        <f>IFERROR(INDEX($G$14:$G$19,MATCH($B30,$B$14:$B$19,0)),"")</f>
        <v/>
      </c>
      <c r="G30" s="49">
        <f>IFERROR(INDEX($H$14:$H$19,MATCH($B30,$B$14:$B$19,0)),"")</f>
        <v/>
      </c>
      <c r="H30" s="49" t="n">
        <v>3</v>
      </c>
    </row>
    <row r="31" ht="15" customHeight="1" s="37">
      <c r="A31" s="40" t="inlineStr">
        <is>
          <t>Insight Item Count (total rules fired)</t>
        </is>
      </c>
      <c r="B31" s="42">
        <f>SUM($C$14:$C$19)</f>
        <v/>
      </c>
    </row>
    <row r="33" ht="15" customHeight="1" s="37">
      <c r="A33" s="75" t="inlineStr">
        <is>
          <t>SECTION 5: LOOKUP TABLES (support data)</t>
        </is>
      </c>
    </row>
    <row r="34" ht="15" customHeight="1" s="37">
      <c r="A34" s="76" t="inlineStr">
        <is>
          <t>Category Spend This Month (helper)</t>
        </is>
      </c>
    </row>
    <row r="35" ht="15" customHeight="1" s="37">
      <c r="A35" s="56" t="inlineStr">
        <is>
          <t>CategoryID</t>
        </is>
      </c>
      <c r="B35" s="56" t="inlineStr">
        <is>
          <t>CategoryName</t>
        </is>
      </c>
      <c r="C35" s="56" t="inlineStr">
        <is>
          <t>SpendThisMonth</t>
        </is>
      </c>
    </row>
    <row r="36" ht="15" customHeight="1" s="37">
      <c r="A36">
        <f>IFERROR(INDEX(tbl_Categories[CategoryID],1),"")</f>
        <v/>
      </c>
      <c r="B36">
        <f>IFERROR(INDEX(tbl_Categories[CategoryName],1),"")</f>
        <v/>
      </c>
      <c r="C36">
        <f>IF(A36="","",SUMIFS(tbl_Transactions[Amount],tbl_Transactions[CategoryID],A36,tbl_Transactions[Direction],"Out",tbl_Transactions[Date],"&gt;="&amp;$B$8,tbl_Transactions[Date],"&lt;"&amp;EDATE($B$8,1)))</f>
        <v/>
      </c>
    </row>
    <row r="37" ht="15" customHeight="1" s="37">
      <c r="A37">
        <f>IFERROR(INDEX(tbl_Categories[CategoryID],2),"")</f>
        <v/>
      </c>
      <c r="B37">
        <f>IFERROR(INDEX(tbl_Categories[CategoryName],2),"")</f>
        <v/>
      </c>
      <c r="C37">
        <f>IF(A37="","",SUMIFS(tbl_Transactions[Amount],tbl_Transactions[CategoryID],A37,tbl_Transactions[Direction],"Out",tbl_Transactions[Date],"&gt;="&amp;$B$8,tbl_Transactions[Date],"&lt;"&amp;EDATE($B$8,1)))</f>
        <v/>
      </c>
    </row>
    <row r="38" ht="15" customHeight="1" s="37">
      <c r="A38">
        <f>IFERROR(INDEX(tbl_Categories[CategoryID],3),"")</f>
        <v/>
      </c>
      <c r="B38">
        <f>IFERROR(INDEX(tbl_Categories[CategoryName],3),"")</f>
        <v/>
      </c>
      <c r="C38">
        <f>IF(A38="","",SUMIFS(tbl_Transactions[Amount],tbl_Transactions[CategoryID],A38,tbl_Transactions[Direction],"Out",tbl_Transactions[Date],"&gt;="&amp;$B$8,tbl_Transactions[Date],"&lt;"&amp;EDATE($B$8,1)))</f>
        <v/>
      </c>
    </row>
    <row r="39" ht="15" customHeight="1" s="37">
      <c r="A39">
        <f>IFERROR(INDEX(tbl_Categories[CategoryID],4),"")</f>
        <v/>
      </c>
      <c r="B39">
        <f>IFERROR(INDEX(tbl_Categories[CategoryName],4),"")</f>
        <v/>
      </c>
      <c r="C39">
        <f>IF(A39="","",SUMIFS(tbl_Transactions[Amount],tbl_Transactions[CategoryID],A39,tbl_Transactions[Direction],"Out",tbl_Transactions[Date],"&gt;="&amp;$B$8,tbl_Transactions[Date],"&lt;"&amp;EDATE($B$8,1)))</f>
        <v/>
      </c>
    </row>
    <row r="40" ht="15" customHeight="1" s="37">
      <c r="A40">
        <f>IFERROR(INDEX(tbl_Categories[CategoryID],5),"")</f>
        <v/>
      </c>
      <c r="B40">
        <f>IFERROR(INDEX(tbl_Categories[CategoryName],5),"")</f>
        <v/>
      </c>
      <c r="C40">
        <f>IF(A40="","",SUMIFS(tbl_Transactions[Amount],tbl_Transactions[CategoryID],A40,tbl_Transactions[Direction],"Out",tbl_Transactions[Date],"&gt;="&amp;$B$8,tbl_Transactions[Date],"&lt;"&amp;EDATE($B$8,1)))</f>
        <v/>
      </c>
    </row>
    <row r="41" ht="15" customHeight="1" s="37">
      <c r="A41">
        <f>IFERROR(INDEX(tbl_Categories[CategoryID],6),"")</f>
        <v/>
      </c>
      <c r="B41">
        <f>IFERROR(INDEX(tbl_Categories[CategoryName],6),"")</f>
        <v/>
      </c>
      <c r="C41">
        <f>IF(A41="","",SUMIFS(tbl_Transactions[Amount],tbl_Transactions[CategoryID],A41,tbl_Transactions[Direction],"Out",tbl_Transactions[Date],"&gt;="&amp;$B$8,tbl_Transactions[Date],"&lt;"&amp;EDATE($B$8,1)))</f>
        <v/>
      </c>
    </row>
    <row r="42" ht="15" customHeight="1" s="37">
      <c r="A42">
        <f>IFERROR(INDEX(tbl_Categories[CategoryID],7),"")</f>
        <v/>
      </c>
      <c r="B42">
        <f>IFERROR(INDEX(tbl_Categories[CategoryName],7),"")</f>
        <v/>
      </c>
      <c r="C42">
        <f>IF(A42="","",SUMIFS(tbl_Transactions[Amount],tbl_Transactions[CategoryID],A42,tbl_Transactions[Direction],"Out",tbl_Transactions[Date],"&gt;="&amp;$B$8,tbl_Transactions[Date],"&lt;"&amp;EDATE($B$8,1)))</f>
        <v/>
      </c>
    </row>
    <row r="43" ht="15" customHeight="1" s="37">
      <c r="A43">
        <f>IFERROR(INDEX(tbl_Categories[CategoryID],8),"")</f>
        <v/>
      </c>
      <c r="B43">
        <f>IFERROR(INDEX(tbl_Categories[CategoryName],8),"")</f>
        <v/>
      </c>
      <c r="C43">
        <f>IF(A43="","",SUMIFS(tbl_Transactions[Amount],tbl_Transactions[CategoryID],A43,tbl_Transactions[Direction],"Out",tbl_Transactions[Date],"&gt;="&amp;$B$8,tbl_Transactions[Date],"&lt;"&amp;EDATE($B$8,1)))</f>
        <v/>
      </c>
    </row>
    <row r="44" ht="15" customHeight="1" s="37">
      <c r="A44">
        <f>IFERROR(INDEX(tbl_Categories[CategoryID],9),"")</f>
        <v/>
      </c>
      <c r="B44">
        <f>IFERROR(INDEX(tbl_Categories[CategoryName],9),"")</f>
        <v/>
      </c>
      <c r="C44">
        <f>IF(A44="","",SUMIFS(tbl_Transactions[Amount],tbl_Transactions[CategoryID],A44,tbl_Transactions[Direction],"Out",tbl_Transactions[Date],"&gt;="&amp;$B$8,tbl_Transactions[Date],"&lt;"&amp;EDATE($B$8,1)))</f>
        <v/>
      </c>
    </row>
    <row r="45" ht="15" customHeight="1" s="37">
      <c r="A45">
        <f>IFERROR(INDEX(tbl_Categories[CategoryID],10),"")</f>
        <v/>
      </c>
      <c r="B45">
        <f>IFERROR(INDEX(tbl_Categories[CategoryName],10),"")</f>
        <v/>
      </c>
      <c r="C45">
        <f>IF(A45="","",SUMIFS(tbl_Transactions[Amount],tbl_Transactions[CategoryID],A45,tbl_Transactions[Direction],"Out",tbl_Transactions[Date],"&gt;="&amp;$B$8,tbl_Transactions[Date],"&lt;"&amp;EDATE($B$8,1)))</f>
        <v/>
      </c>
    </row>
    <row r="46" ht="15" customHeight="1" s="37">
      <c r="A46">
        <f>IFERROR(INDEX(tbl_Categories[CategoryID],11),"")</f>
        <v/>
      </c>
      <c r="B46">
        <f>IFERROR(INDEX(tbl_Categories[CategoryName],11),"")</f>
        <v/>
      </c>
      <c r="C46">
        <f>IF(A46="","",SUMIFS(tbl_Transactions[Amount],tbl_Transactions[CategoryID],A46,tbl_Transactions[Direction],"Out",tbl_Transactions[Date],"&gt;="&amp;$B$8,tbl_Transactions[Date],"&lt;"&amp;EDATE($B$8,1)))</f>
        <v/>
      </c>
    </row>
    <row r="47" ht="15" customHeight="1" s="37">
      <c r="A47">
        <f>IFERROR(INDEX(tbl_Categories[CategoryID],12),"")</f>
        <v/>
      </c>
      <c r="B47">
        <f>IFERROR(INDEX(tbl_Categories[CategoryName],12),"")</f>
        <v/>
      </c>
      <c r="C47">
        <f>IF(A47="","",SUMIFS(tbl_Transactions[Amount],tbl_Transactions[CategoryID],A47,tbl_Transactions[Direction],"Out",tbl_Transactions[Date],"&gt;="&amp;$B$8,tbl_Transactions[Date],"&lt;"&amp;EDATE($B$8,1)))</f>
        <v/>
      </c>
    </row>
    <row r="48" ht="15" customHeight="1" s="37">
      <c r="A48">
        <f>IFERROR(INDEX(tbl_Categories[CategoryID],13),"")</f>
        <v/>
      </c>
      <c r="B48">
        <f>IFERROR(INDEX(tbl_Categories[CategoryName],13),"")</f>
        <v/>
      </c>
      <c r="C48">
        <f>IF(A48="","",SUMIFS(tbl_Transactions[Amount],tbl_Transactions[CategoryID],A48,tbl_Transactions[Direction],"Out",tbl_Transactions[Date],"&gt;="&amp;$B$8,tbl_Transactions[Date],"&lt;"&amp;EDATE($B$8,1)))</f>
        <v/>
      </c>
    </row>
    <row r="49" ht="15" customHeight="1" s="37">
      <c r="A49">
        <f>IFERROR(INDEX(tbl_Categories[CategoryID],14),"")</f>
        <v/>
      </c>
      <c r="B49">
        <f>IFERROR(INDEX(tbl_Categories[CategoryName],14),"")</f>
        <v/>
      </c>
      <c r="C49">
        <f>IF(A49="","",SUMIFS(tbl_Transactions[Amount],tbl_Transactions[CategoryID],A49,tbl_Transactions[Direction],"Out",tbl_Transactions[Date],"&gt;="&amp;$B$8,tbl_Transactions[Date],"&lt;"&amp;EDATE($B$8,1)))</f>
        <v/>
      </c>
    </row>
    <row r="50" ht="15" customHeight="1" s="37">
      <c r="A50">
        <f>IFERROR(INDEX(tbl_Categories[CategoryID],15),"")</f>
        <v/>
      </c>
      <c r="B50">
        <f>IFERROR(INDEX(tbl_Categories[CategoryName],15),"")</f>
        <v/>
      </c>
      <c r="C50">
        <f>IF(A50="","",SUMIFS(tbl_Transactions[Amount],tbl_Transactions[CategoryID],A50,tbl_Transactions[Direction],"Out",tbl_Transactions[Date],"&gt;="&amp;$B$8,tbl_Transactions[Date],"&lt;"&amp;EDATE($B$8,1)))</f>
        <v/>
      </c>
    </row>
    <row r="51" ht="15" customHeight="1" s="37">
      <c r="A51">
        <f>IFERROR(INDEX(tbl_Categories[CategoryID],16),"")</f>
        <v/>
      </c>
      <c r="B51">
        <f>IFERROR(INDEX(tbl_Categories[CategoryName],16),"")</f>
        <v/>
      </c>
      <c r="C51">
        <f>IF(A51="","",SUMIFS(tbl_Transactions[Amount],tbl_Transactions[CategoryID],A51,tbl_Transactions[Direction],"Out",tbl_Transactions[Date],"&gt;="&amp;$B$8,tbl_Transactions[Date],"&lt;"&amp;EDATE($B$8,1)))</f>
        <v/>
      </c>
    </row>
    <row r="52" ht="15" customHeight="1" s="37">
      <c r="A52">
        <f>IFERROR(INDEX(tbl_Categories[CategoryID],17),"")</f>
        <v/>
      </c>
      <c r="B52">
        <f>IFERROR(INDEX(tbl_Categories[CategoryName],17),"")</f>
        <v/>
      </c>
      <c r="C52">
        <f>IF(A52="","",SUMIFS(tbl_Transactions[Amount],tbl_Transactions[CategoryID],A52,tbl_Transactions[Direction],"Out",tbl_Transactions[Date],"&gt;="&amp;$B$8,tbl_Transactions[Date],"&lt;"&amp;EDATE($B$8,1)))</f>
        <v/>
      </c>
    </row>
    <row r="53" ht="15" customHeight="1" s="37">
      <c r="A53">
        <f>IFERROR(INDEX(tbl_Categories[CategoryID],18),"")</f>
        <v/>
      </c>
      <c r="B53">
        <f>IFERROR(INDEX(tbl_Categories[CategoryName],18),"")</f>
        <v/>
      </c>
      <c r="C53">
        <f>IF(A53="","",SUMIFS(tbl_Transactions[Amount],tbl_Transactions[CategoryID],A53,tbl_Transactions[Direction],"Out",tbl_Transactions[Date],"&gt;="&amp;$B$8,tbl_Transactions[Date],"&lt;"&amp;EDATE($B$8,1)))</f>
        <v/>
      </c>
    </row>
    <row r="54" ht="15" customHeight="1" s="37">
      <c r="A54">
        <f>IFERROR(INDEX(tbl_Categories[CategoryID],19),"")</f>
        <v/>
      </c>
      <c r="B54">
        <f>IFERROR(INDEX(tbl_Categories[CategoryName],19),"")</f>
        <v/>
      </c>
      <c r="C54">
        <f>IF(A54="","",SUMIFS(tbl_Transactions[Amount],tbl_Transactions[CategoryID],A54,tbl_Transactions[Direction],"Out",tbl_Transactions[Date],"&gt;="&amp;$B$8,tbl_Transactions[Date],"&lt;"&amp;EDATE($B$8,1)))</f>
        <v/>
      </c>
    </row>
    <row r="55" ht="15" customHeight="1" s="37">
      <c r="A55">
        <f>IFERROR(INDEX(tbl_Categories[CategoryID],20),"")</f>
        <v/>
      </c>
      <c r="B55">
        <f>IFERROR(INDEX(tbl_Categories[CategoryName],20),"")</f>
        <v/>
      </c>
      <c r="C55">
        <f>IF(A55="","",SUMIFS(tbl_Transactions[Amount],tbl_Transactions[CategoryID],A55,tbl_Transactions[Direction],"Out",tbl_Transactions[Date],"&gt;="&amp;$B$8,tbl_Transactions[Date],"&lt;"&amp;EDATE($B$8,1)))</f>
        <v/>
      </c>
    </row>
    <row r="57" ht="15" customHeight="1" s="37">
      <c r="A57" s="76" t="inlineStr">
        <is>
          <t>Vendor Spend This Month (helper)</t>
        </is>
      </c>
    </row>
    <row r="58" ht="15" customHeight="1" s="37">
      <c r="A58" s="56" t="inlineStr">
        <is>
          <t>VendorID</t>
        </is>
      </c>
      <c r="B58" s="56" t="inlineStr">
        <is>
          <t>VendorName</t>
        </is>
      </c>
      <c r="C58" s="56" t="inlineStr">
        <is>
          <t>SpendThisMonth</t>
        </is>
      </c>
    </row>
    <row r="59" ht="15" customHeight="1" s="37">
      <c r="A59">
        <f>IFERROR(INDEX(tbl_Vendors[VendorID],1),"")</f>
        <v/>
      </c>
      <c r="B59">
        <f>IFERROR(INDEX(tbl_Vendors[VendorName],1),"")</f>
        <v/>
      </c>
      <c r="C59">
        <f>IF(A59="","",SUMIFS(tbl_Transactions[Amount],tbl_Transactions[VendorID],A59,tbl_Transactions[Direction],"Out",tbl_Transactions[Date],"&gt;="&amp;$B$8,tbl_Transactions[Date],"&lt;"&amp;EDATE($B$8,1)))</f>
        <v/>
      </c>
    </row>
    <row r="60" ht="15" customHeight="1" s="37">
      <c r="A60">
        <f>IFERROR(INDEX(tbl_Vendors[VendorID],2),"")</f>
        <v/>
      </c>
      <c r="B60">
        <f>IFERROR(INDEX(tbl_Vendors[VendorName],2),"")</f>
        <v/>
      </c>
      <c r="C60">
        <f>IF(A60="","",SUMIFS(tbl_Transactions[Amount],tbl_Transactions[VendorID],A60,tbl_Transactions[Direction],"Out",tbl_Transactions[Date],"&gt;="&amp;$B$8,tbl_Transactions[Date],"&lt;"&amp;EDATE($B$8,1)))</f>
        <v/>
      </c>
    </row>
    <row r="61" ht="15" customHeight="1" s="37">
      <c r="A61">
        <f>IFERROR(INDEX(tbl_Vendors[VendorID],3),"")</f>
        <v/>
      </c>
      <c r="B61">
        <f>IFERROR(INDEX(tbl_Vendors[VendorName],3),"")</f>
        <v/>
      </c>
      <c r="C61">
        <f>IF(A61="","",SUMIFS(tbl_Transactions[Amount],tbl_Transactions[VendorID],A61,tbl_Transactions[Direction],"Out",tbl_Transactions[Date],"&gt;="&amp;$B$8,tbl_Transactions[Date],"&lt;"&amp;EDATE($B$8,1)))</f>
        <v/>
      </c>
    </row>
    <row r="62" ht="15" customHeight="1" s="37">
      <c r="A62">
        <f>IFERROR(INDEX(tbl_Vendors[VendorID],4),"")</f>
        <v/>
      </c>
      <c r="B62">
        <f>IFERROR(INDEX(tbl_Vendors[VendorName],4),"")</f>
        <v/>
      </c>
      <c r="C62">
        <f>IF(A62="","",SUMIFS(tbl_Transactions[Amount],tbl_Transactions[VendorID],A62,tbl_Transactions[Direction],"Out",tbl_Transactions[Date],"&gt;="&amp;$B$8,tbl_Transactions[Date],"&lt;"&amp;EDATE($B$8,1)))</f>
        <v/>
      </c>
    </row>
    <row r="63" ht="15" customHeight="1" s="37">
      <c r="A63">
        <f>IFERROR(INDEX(tbl_Vendors[VendorID],5),"")</f>
        <v/>
      </c>
      <c r="B63">
        <f>IFERROR(INDEX(tbl_Vendors[VendorName],5),"")</f>
        <v/>
      </c>
      <c r="C63">
        <f>IF(A63="","",SUMIFS(tbl_Transactions[Amount],tbl_Transactions[VendorID],A63,tbl_Transactions[Direction],"Out",tbl_Transactions[Date],"&gt;="&amp;$B$8,tbl_Transactions[Date],"&lt;"&amp;EDATE($B$8,1)))</f>
        <v/>
      </c>
    </row>
    <row r="64" ht="15" customHeight="1" s="37">
      <c r="A64">
        <f>IFERROR(INDEX(tbl_Vendors[VendorID],6),"")</f>
        <v/>
      </c>
      <c r="B64">
        <f>IFERROR(INDEX(tbl_Vendors[VendorName],6),"")</f>
        <v/>
      </c>
      <c r="C64">
        <f>IF(A64="","",SUMIFS(tbl_Transactions[Amount],tbl_Transactions[VendorID],A64,tbl_Transactions[Direction],"Out",tbl_Transactions[Date],"&gt;="&amp;$B$8,tbl_Transactions[Date],"&lt;"&amp;EDATE($B$8,1)))</f>
        <v/>
      </c>
    </row>
    <row r="65" ht="15" customHeight="1" s="37">
      <c r="A65">
        <f>IFERROR(INDEX(tbl_Vendors[VendorID],7),"")</f>
        <v/>
      </c>
      <c r="B65">
        <f>IFERROR(INDEX(tbl_Vendors[VendorName],7),"")</f>
        <v/>
      </c>
      <c r="C65">
        <f>IF(A65="","",SUMIFS(tbl_Transactions[Amount],tbl_Transactions[VendorID],A65,tbl_Transactions[Direction],"Out",tbl_Transactions[Date],"&gt;="&amp;$B$8,tbl_Transactions[Date],"&lt;"&amp;EDATE($B$8,1)))</f>
        <v/>
      </c>
    </row>
    <row r="66" ht="15" customHeight="1" s="37">
      <c r="A66">
        <f>IFERROR(INDEX(tbl_Vendors[VendorID],8),"")</f>
        <v/>
      </c>
      <c r="B66">
        <f>IFERROR(INDEX(tbl_Vendors[VendorName],8),"")</f>
        <v/>
      </c>
      <c r="C66">
        <f>IF(A66="","",SUMIFS(tbl_Transactions[Amount],tbl_Transactions[VendorID],A66,tbl_Transactions[Direction],"Out",tbl_Transactions[Date],"&gt;="&amp;$B$8,tbl_Transactions[Date],"&lt;"&amp;EDATE($B$8,1)))</f>
        <v/>
      </c>
    </row>
    <row r="67" ht="15" customHeight="1" s="37">
      <c r="A67">
        <f>IFERROR(INDEX(tbl_Vendors[VendorID],9),"")</f>
        <v/>
      </c>
      <c r="B67">
        <f>IFERROR(INDEX(tbl_Vendors[VendorName],9),"")</f>
        <v/>
      </c>
      <c r="C67">
        <f>IF(A67="","",SUMIFS(tbl_Transactions[Amount],tbl_Transactions[VendorID],A67,tbl_Transactions[Direction],"Out",tbl_Transactions[Date],"&gt;="&amp;$B$8,tbl_Transactions[Date],"&lt;"&amp;EDATE($B$8,1)))</f>
        <v/>
      </c>
    </row>
    <row r="68" ht="15" customHeight="1" s="37">
      <c r="A68">
        <f>IFERROR(INDEX(tbl_Vendors[VendorID],10),"")</f>
        <v/>
      </c>
      <c r="B68">
        <f>IFERROR(INDEX(tbl_Vendors[VendorName],10),"")</f>
        <v/>
      </c>
      <c r="C68">
        <f>IF(A68="","",SUMIFS(tbl_Transactions[Amount],tbl_Transactions[VendorID],A68,tbl_Transactions[Direction],"Out",tbl_Transactions[Date],"&gt;="&amp;$B$8,tbl_Transactions[Date],"&lt;"&amp;EDATE($B$8,1)))</f>
        <v/>
      </c>
    </row>
    <row r="70" ht="15" customHeight="1" s="37">
      <c r="A70" s="40" t="inlineStr">
        <is>
          <t>Top Category Name</t>
        </is>
      </c>
      <c r="B70" s="40">
        <f>IFERROR(INDEX($B$36:$B$55,MATCH(MAX($C$36:$C$55),$C$36:$C$55,0)),"")</f>
        <v/>
      </c>
    </row>
    <row r="71" ht="15" customHeight="1" s="37">
      <c r="A71" s="40" t="inlineStr">
        <is>
          <t>Top Category Amount</t>
        </is>
      </c>
      <c r="B71" s="101">
        <f>IFERROR(MAX($C$36:$C$55),0)</f>
        <v/>
      </c>
    </row>
    <row r="72" ht="15" customHeight="1" s="37">
      <c r="A72" s="40" t="inlineStr">
        <is>
          <t>Top Vendor Name</t>
        </is>
      </c>
      <c r="B72" s="40">
        <f>IFERROR(INDEX($B$59:$B$68,MATCH(MAX($C$59:$C$68),$C$59:$C$68,0)),"")</f>
        <v/>
      </c>
    </row>
    <row r="73" ht="15" customHeight="1" s="37">
      <c r="A73" s="40" t="inlineStr">
        <is>
          <t>Top Vendor Amount</t>
        </is>
      </c>
      <c r="B73" s="101">
        <f>IFERROR(MAX($C$59:$C$68),0)</f>
        <v/>
      </c>
    </row>
    <row r="74" ht="15" customHeight="1" s="37">
      <c r="A74" s="40" t="inlineStr">
        <is>
          <t>Primary Active Goal Name</t>
        </is>
      </c>
      <c r="B74" s="40">
        <f>IFERROR(INDEX(tbl_Goals[GoalName],MATCH("Active",tbl_Goals[Status],0)),"")</f>
        <v/>
      </c>
    </row>
    <row r="75" ht="15" customHeight="1" s="37">
      <c r="A75" s="40" t="inlineStr">
        <is>
          <t>Primary Active Goal Target</t>
        </is>
      </c>
      <c r="B75" s="101">
        <f>IFERROR(INDEX(tbl_Goals[TargetAmount],MATCH("Active",tbl_Goals[Status],0)),0)</f>
        <v/>
      </c>
    </row>
    <row r="76" ht="15" customHeight="1" s="37">
      <c r="A76" s="40" t="inlineStr">
        <is>
          <t>Primary Active Goal Current</t>
        </is>
      </c>
      <c r="B76" s="101">
        <f>IFERROR(INDEX(tbl_Goals[CurrentAmount],MATCH("Active",tbl_Goals[Status],0)),0)</f>
        <v/>
      </c>
    </row>
    <row r="77" ht="15" customHeight="1" s="37">
      <c r="A77" s="40" t="inlineStr">
        <is>
          <t>Primary Active Goal Progress %</t>
        </is>
      </c>
      <c r="B77" s="57">
        <f>IFERROR(B76/B75,0)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12:H12"/>
    <mergeCell ref="A21:B21"/>
    <mergeCell ref="A26:H26"/>
    <mergeCell ref="A2:B2"/>
    <mergeCell ref="A33:C33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6"/>
  </cols>
  <sheetData>
    <row r="1" ht="15" customHeight="1" s="37">
      <c r="A1" s="34" t="inlineStr">
        <is>
          <t>Currency</t>
        </is>
      </c>
      <c r="B1" s="34" t="inlineStr">
        <is>
          <t>Industry</t>
        </is>
      </c>
      <c r="C1" s="34" t="inlineStr">
        <is>
          <t>Month</t>
        </is>
      </c>
      <c r="D1" s="34" t="inlineStr">
        <is>
          <t>WeekStart</t>
        </is>
      </c>
      <c r="E1" s="34" t="inlineStr">
        <is>
          <t>TimeZone</t>
        </is>
      </c>
      <c r="F1" s="34" t="inlineStr">
        <is>
          <t>Theme</t>
        </is>
      </c>
      <c r="G1" s="34" t="inlineStr">
        <is>
          <t>DateFormat</t>
        </is>
      </c>
      <c r="H1" s="34" t="inlineStr">
        <is>
          <t>NumberFormat</t>
        </is>
      </c>
      <c r="I1" s="34" t="inlineStr">
        <is>
          <t>TransactionDirection</t>
        </is>
      </c>
      <c r="J1" s="34" t="inlineStr">
        <is>
          <t>CategoryDirection</t>
        </is>
      </c>
      <c r="K1" s="34" t="inlineStr">
        <is>
          <t>BooleanChoice</t>
        </is>
      </c>
      <c r="L1" s="34" t="inlineStr">
        <is>
          <t>BillStatus</t>
        </is>
      </c>
      <c r="M1" s="34" t="inlineStr">
        <is>
          <t>RecurrenceFrequency</t>
        </is>
      </c>
      <c r="N1" s="34" t="inlineStr">
        <is>
          <t>InvoiceStatus</t>
        </is>
      </c>
      <c r="O1" s="34" t="inlineStr">
        <is>
          <t>GoalType</t>
        </is>
      </c>
      <c r="P1" s="34" t="inlineStr">
        <is>
          <t>GoalStatus</t>
        </is>
      </c>
      <c r="R1" s="34" t="inlineStr">
        <is>
          <t>PayeeNames</t>
        </is>
      </c>
    </row>
    <row r="2" ht="15" customHeight="1" s="37">
      <c r="A2" t="inlineStr">
        <is>
          <t>USD</t>
        </is>
      </c>
      <c r="B2" t="inlineStr">
        <is>
          <t>Freelance</t>
        </is>
      </c>
      <c r="C2" t="inlineStr">
        <is>
          <t>January</t>
        </is>
      </c>
      <c r="D2" t="inlineStr">
        <is>
          <t>Sunday</t>
        </is>
      </c>
      <c r="E2" t="inlineStr">
        <is>
          <t>America/New_York</t>
        </is>
      </c>
      <c r="F2" t="inlineStr">
        <is>
          <t>Light</t>
        </is>
      </c>
      <c r="G2" t="inlineStr">
        <is>
          <t>MM/DD/YYYY</t>
        </is>
      </c>
      <c r="H2" t="inlineStr">
        <is>
          <t>US format</t>
        </is>
      </c>
      <c r="I2" t="inlineStr">
        <is>
          <t>In</t>
        </is>
      </c>
      <c r="J2" t="inlineStr">
        <is>
          <t>In</t>
        </is>
      </c>
      <c r="K2" t="inlineStr">
        <is>
          <t>TRUE</t>
        </is>
      </c>
      <c r="L2" t="inlineStr">
        <is>
          <t>Upcoming</t>
        </is>
      </c>
      <c r="M2" t="inlineStr">
        <is>
          <t>Weekly</t>
        </is>
      </c>
      <c r="N2" t="inlineStr">
        <is>
          <t>Draft</t>
        </is>
      </c>
      <c r="O2" t="inlineStr">
        <is>
          <t>Savings</t>
        </is>
      </c>
      <c r="P2" t="inlineStr">
        <is>
          <t>Active</t>
        </is>
      </c>
      <c r="R2">
        <f>IFERROR(IF(ROWS($R$2:R2)&lt;=ROWS(tbl_Vendors[VendorName]),INDEX(tbl_Vendors[VendorName],ROWS($R$2:R2)),INDEX(tbl_Customers[CustomerName],ROWS($R$2:R2)-ROWS(tbl_Vendors[VendorName]))),"")</f>
        <v/>
      </c>
    </row>
    <row r="3" ht="15" customHeight="1" s="37">
      <c r="A3" t="inlineStr">
        <is>
          <t>GBP</t>
        </is>
      </c>
      <c r="B3" t="inlineStr">
        <is>
          <t>Retail</t>
        </is>
      </c>
      <c r="C3" t="inlineStr">
        <is>
          <t>February</t>
        </is>
      </c>
      <c r="D3" t="inlineStr">
        <is>
          <t>Monday</t>
        </is>
      </c>
      <c r="E3" t="inlineStr">
        <is>
          <t>America/Chicago</t>
        </is>
      </c>
      <c r="G3" t="inlineStr">
        <is>
          <t>DD/MM/YYYY</t>
        </is>
      </c>
      <c r="H3" t="inlineStr">
        <is>
          <t>European format</t>
        </is>
      </c>
      <c r="I3" t="inlineStr">
        <is>
          <t>Out</t>
        </is>
      </c>
      <c r="J3" t="inlineStr">
        <is>
          <t>Out</t>
        </is>
      </c>
      <c r="K3" t="inlineStr">
        <is>
          <t>FALSE</t>
        </is>
      </c>
      <c r="L3" t="inlineStr">
        <is>
          <t>Paid</t>
        </is>
      </c>
      <c r="M3" t="inlineStr">
        <is>
          <t>Monthly</t>
        </is>
      </c>
      <c r="N3" t="inlineStr">
        <is>
          <t>Sent</t>
        </is>
      </c>
      <c r="O3" t="inlineStr">
        <is>
          <t>Revenue Target</t>
        </is>
      </c>
      <c r="P3" t="inlineStr">
        <is>
          <t>Achieved</t>
        </is>
      </c>
      <c r="R3">
        <f>IFERROR(IF(ROWS($R$2:R3)&lt;=ROWS(tbl_Vendors[VendorName]),INDEX(tbl_Vendors[VendorName],ROWS($R$2:R3)),INDEX(tbl_Customers[CustomerName],ROWS($R$2:R3)-ROWS(tbl_Vendors[VendorName]))),"")</f>
        <v/>
      </c>
    </row>
    <row r="4" ht="15" customHeight="1" s="37">
      <c r="A4" t="inlineStr">
        <is>
          <t>EUR</t>
        </is>
      </c>
      <c r="B4" t="inlineStr">
        <is>
          <t>Service</t>
        </is>
      </c>
      <c r="C4" t="inlineStr">
        <is>
          <t>March</t>
        </is>
      </c>
      <c r="E4" t="inlineStr">
        <is>
          <t>America/Denver</t>
        </is>
      </c>
      <c r="J4" t="inlineStr">
        <is>
          <t>Both</t>
        </is>
      </c>
      <c r="L4" t="inlineStr">
        <is>
          <t>Overdue</t>
        </is>
      </c>
      <c r="M4" t="inlineStr">
        <is>
          <t>Quarterly</t>
        </is>
      </c>
      <c r="N4" t="inlineStr">
        <is>
          <t>Paid</t>
        </is>
      </c>
      <c r="O4" t="inlineStr">
        <is>
          <t>Debt Payoff</t>
        </is>
      </c>
      <c r="P4" t="inlineStr">
        <is>
          <t>Archived</t>
        </is>
      </c>
      <c r="R4">
        <f>IFERROR(IF(ROWS($R$2:R4)&lt;=ROWS(tbl_Vendors[VendorName]),INDEX(tbl_Vendors[VendorName],ROWS($R$2:R4)),INDEX(tbl_Customers[CustomerName],ROWS($R$2:R4)-ROWS(tbl_Vendors[VendorName]))),"")</f>
        <v/>
      </c>
    </row>
    <row r="5" ht="15" customHeight="1" s="37">
      <c r="A5" t="inlineStr">
        <is>
          <t>CAD</t>
        </is>
      </c>
      <c r="B5" t="inlineStr">
        <is>
          <t>Other</t>
        </is>
      </c>
      <c r="C5" t="inlineStr">
        <is>
          <t>April</t>
        </is>
      </c>
      <c r="E5" t="inlineStr">
        <is>
          <t>America/Los_Angeles</t>
        </is>
      </c>
      <c r="M5" t="inlineStr">
        <is>
          <t>Annually</t>
        </is>
      </c>
      <c r="N5" t="inlineStr">
        <is>
          <t>Overdue</t>
        </is>
      </c>
      <c r="R5">
        <f>IFERROR(IF(ROWS($R$2:R5)&lt;=ROWS(tbl_Vendors[VendorName]),INDEX(tbl_Vendors[VendorName],ROWS($R$2:R5)),INDEX(tbl_Customers[CustomerName],ROWS($R$2:R5)-ROWS(tbl_Vendors[VendorName]))),"")</f>
        <v/>
      </c>
    </row>
    <row r="6" ht="15" customHeight="1" s="37">
      <c r="A6" t="inlineStr">
        <is>
          <t>AUD</t>
        </is>
      </c>
      <c r="C6" t="inlineStr">
        <is>
          <t>May</t>
        </is>
      </c>
      <c r="E6" t="inlineStr">
        <is>
          <t>UTC</t>
        </is>
      </c>
      <c r="M6" t="inlineStr">
        <is>
          <t>None</t>
        </is>
      </c>
      <c r="N6" t="inlineStr">
        <is>
          <t>Void</t>
        </is>
      </c>
      <c r="R6">
        <f>IFERROR(IF(ROWS($R$2:R6)&lt;=ROWS(tbl_Vendors[VendorName]),INDEX(tbl_Vendors[VendorName],ROWS($R$2:R6)),INDEX(tbl_Customers[CustomerName],ROWS($R$2:R6)-ROWS(tbl_Vendors[VendorName]))),"")</f>
        <v/>
      </c>
    </row>
    <row r="7" ht="15" customHeight="1" s="37">
      <c r="C7" t="inlineStr">
        <is>
          <t>June</t>
        </is>
      </c>
      <c r="R7">
        <f>IFERROR(IF(ROWS($R$2:R7)&lt;=ROWS(tbl_Vendors[VendorName]),INDEX(tbl_Vendors[VendorName],ROWS($R$2:R7)),INDEX(tbl_Customers[CustomerName],ROWS($R$2:R7)-ROWS(tbl_Vendors[VendorName]))),"")</f>
        <v/>
      </c>
    </row>
    <row r="8" ht="15" customHeight="1" s="37">
      <c r="C8" t="inlineStr">
        <is>
          <t>July</t>
        </is>
      </c>
      <c r="R8">
        <f>IFERROR(IF(ROWS($R$2:R8)&lt;=ROWS(tbl_Vendors[VendorName]),INDEX(tbl_Vendors[VendorName],ROWS($R$2:R8)),INDEX(tbl_Customers[CustomerName],ROWS($R$2:R8)-ROWS(tbl_Vendors[VendorName]))),"")</f>
        <v/>
      </c>
    </row>
    <row r="9" ht="15" customHeight="1" s="37">
      <c r="C9" t="inlineStr">
        <is>
          <t>August</t>
        </is>
      </c>
      <c r="R9">
        <f>IFERROR(IF(ROWS($R$2:R9)&lt;=ROWS(tbl_Vendors[VendorName]),INDEX(tbl_Vendors[VendorName],ROWS($R$2:R9)),INDEX(tbl_Customers[CustomerName],ROWS($R$2:R9)-ROWS(tbl_Vendors[VendorName]))),"")</f>
        <v/>
      </c>
    </row>
    <row r="10" ht="15" customHeight="1" s="37">
      <c r="C10" t="inlineStr">
        <is>
          <t>September</t>
        </is>
      </c>
      <c r="R10">
        <f>IFERROR(IF(ROWS($R$2:R10)&lt;=ROWS(tbl_Vendors[VendorName]),INDEX(tbl_Vendors[VendorName],ROWS($R$2:R10)),INDEX(tbl_Customers[CustomerName],ROWS($R$2:R10)-ROWS(tbl_Vendors[VendorName]))),"")</f>
        <v/>
      </c>
    </row>
    <row r="11" ht="15" customHeight="1" s="37">
      <c r="C11" t="inlineStr">
        <is>
          <t>October</t>
        </is>
      </c>
      <c r="R11">
        <f>IFERROR(IF(ROWS($R$2:R11)&lt;=ROWS(tbl_Vendors[VendorName]),INDEX(tbl_Vendors[VendorName],ROWS($R$2:R11)),INDEX(tbl_Customers[CustomerName],ROWS($R$2:R11)-ROWS(tbl_Vendors[VendorName]))),"")</f>
        <v/>
      </c>
    </row>
    <row r="12" ht="15" customHeight="1" s="37">
      <c r="C12" t="inlineStr">
        <is>
          <t>November</t>
        </is>
      </c>
      <c r="R12">
        <f>IFERROR(IF(ROWS($R$2:R12)&lt;=ROWS(tbl_Vendors[VendorName]),INDEX(tbl_Vendors[VendorName],ROWS($R$2:R12)),INDEX(tbl_Customers[CustomerName],ROWS($R$2:R12)-ROWS(tbl_Vendors[VendorName]))),"")</f>
        <v/>
      </c>
    </row>
    <row r="13" ht="15" customHeight="1" s="37">
      <c r="C13" t="inlineStr">
        <is>
          <t>December</t>
        </is>
      </c>
      <c r="R13">
        <f>IFERROR(IF(ROWS($R$2:R13)&lt;=ROWS(tbl_Vendors[VendorName]),INDEX(tbl_Vendors[VendorName],ROWS($R$2:R13)),INDEX(tbl_Customers[CustomerName],ROWS($R$2:R13)-ROWS(tbl_Vendors[VendorName]))),"")</f>
        <v/>
      </c>
    </row>
    <row r="14">
      <c r="R14">
        <f>IFERROR(IF(ROWS($R$2:R14)&lt;=ROWS(tbl_Vendors[VendorName]),INDEX(tbl_Vendors[VendorName],ROWS($R$2:R14)),INDEX(tbl_Customers[CustomerName],ROWS($R$2:R14)-ROWS(tbl_Vendors[VendorName]))),"")</f>
        <v/>
      </c>
    </row>
    <row r="15">
      <c r="R15">
        <f>IFERROR(IF(ROWS($R$2:R15)&lt;=ROWS(tbl_Vendors[VendorName]),INDEX(tbl_Vendors[VendorName],ROWS($R$2:R15)),INDEX(tbl_Customers[CustomerName],ROWS($R$2:R15)-ROWS(tbl_Vendors[VendorName]))),"")</f>
        <v/>
      </c>
    </row>
    <row r="16">
      <c r="R16">
        <f>IFERROR(IF(ROWS($R$2:R16)&lt;=ROWS(tbl_Vendors[VendorName]),INDEX(tbl_Vendors[VendorName],ROWS($R$2:R16)),INDEX(tbl_Customers[CustomerName],ROWS($R$2:R16)-ROWS(tbl_Vendors[VendorName]))),"")</f>
        <v/>
      </c>
    </row>
    <row r="17">
      <c r="R17">
        <f>IFERROR(IF(ROWS($R$2:R17)&lt;=ROWS(tbl_Vendors[VendorName]),INDEX(tbl_Vendors[VendorName],ROWS($R$2:R17)),INDEX(tbl_Customers[CustomerName],ROWS($R$2:R17)-ROWS(tbl_Vendors[VendorName]))),"")</f>
        <v/>
      </c>
    </row>
    <row r="18">
      <c r="R18">
        <f>IFERROR(IF(ROWS($R$2:R18)&lt;=ROWS(tbl_Vendors[VendorName]),INDEX(tbl_Vendors[VendorName],ROWS($R$2:R18)),INDEX(tbl_Customers[CustomerName],ROWS($R$2:R18)-ROWS(tbl_Vendors[VendorName]))),"")</f>
        <v/>
      </c>
    </row>
    <row r="19">
      <c r="R19">
        <f>IFERROR(IF(ROWS($R$2:R19)&lt;=ROWS(tbl_Vendors[VendorName]),INDEX(tbl_Vendors[VendorName],ROWS($R$2:R19)),INDEX(tbl_Customers[CustomerName],ROWS($R$2:R19)-ROWS(tbl_Vendors[VendorName]))),"")</f>
        <v/>
      </c>
    </row>
    <row r="20">
      <c r="R20">
        <f>IFERROR(IF(ROWS($R$2:R20)&lt;=ROWS(tbl_Vendors[VendorName]),INDEX(tbl_Vendors[VendorName],ROWS($R$2:R20)),INDEX(tbl_Customers[CustomerName],ROWS($R$2:R20)-ROWS(tbl_Vendors[VendorName]))),"")</f>
        <v/>
      </c>
    </row>
    <row r="21">
      <c r="R21">
        <f>IFERROR(IF(ROWS($R$2:R21)&lt;=ROWS(tbl_Vendors[VendorName]),INDEX(tbl_Vendors[VendorName],ROWS($R$2:R21)),INDEX(tbl_Customers[CustomerName],ROWS($R$2:R21)-ROWS(tbl_Vendors[VendorName]))),"")</f>
        <v/>
      </c>
    </row>
    <row r="22">
      <c r="R22">
        <f>IFERROR(IF(ROWS($R$2:R22)&lt;=ROWS(tbl_Vendors[VendorName]),INDEX(tbl_Vendors[VendorName],ROWS($R$2:R22)),INDEX(tbl_Customers[CustomerName],ROWS($R$2:R22)-ROWS(tbl_Vendors[VendorName]))),"")</f>
        <v/>
      </c>
    </row>
    <row r="23">
      <c r="R23">
        <f>IFERROR(IF(ROWS($R$2:R23)&lt;=ROWS(tbl_Vendors[VendorName]),INDEX(tbl_Vendors[VendorName],ROWS($R$2:R23)),INDEX(tbl_Customers[CustomerName],ROWS($R$2:R23)-ROWS(tbl_Vendors[VendorName]))),"")</f>
        <v/>
      </c>
    </row>
    <row r="24">
      <c r="R24">
        <f>IFERROR(IF(ROWS($R$2:R24)&lt;=ROWS(tbl_Vendors[VendorName]),INDEX(tbl_Vendors[VendorName],ROWS($R$2:R24)),INDEX(tbl_Customers[CustomerName],ROWS($R$2:R24)-ROWS(tbl_Vendors[VendorName]))),"")</f>
        <v/>
      </c>
    </row>
    <row r="25">
      <c r="R25">
        <f>IFERROR(IF(ROWS($R$2:R25)&lt;=ROWS(tbl_Vendors[VendorName]),INDEX(tbl_Vendors[VendorName],ROWS($R$2:R25)),INDEX(tbl_Customers[CustomerName],ROWS($R$2:R25)-ROWS(tbl_Vendors[VendorName]))),"")</f>
        <v/>
      </c>
    </row>
    <row r="26">
      <c r="R26">
        <f>IFERROR(IF(ROWS($R$2:R26)&lt;=ROWS(tbl_Vendors[VendorName]),INDEX(tbl_Vendors[VendorName],ROWS($R$2:R26)),INDEX(tbl_Customers[CustomerName],ROWS($R$2:R26)-ROWS(tbl_Vendors[VendorName]))),"")</f>
        <v/>
      </c>
    </row>
    <row r="27">
      <c r="R27">
        <f>IFERROR(IF(ROWS($R$2:R27)&lt;=ROWS(tbl_Vendors[VendorName]),INDEX(tbl_Vendors[VendorName],ROWS($R$2:R27)),INDEX(tbl_Customers[CustomerName],ROWS($R$2:R27)-ROWS(tbl_Vendors[VendorName]))),"")</f>
        <v/>
      </c>
    </row>
    <row r="28">
      <c r="R28">
        <f>IFERROR(IF(ROWS($R$2:R28)&lt;=ROWS(tbl_Vendors[VendorName]),INDEX(tbl_Vendors[VendorName],ROWS($R$2:R28)),INDEX(tbl_Customers[CustomerName],ROWS($R$2:R28)-ROWS(tbl_Vendors[VendorName]))),"")</f>
        <v/>
      </c>
    </row>
    <row r="29">
      <c r="R29">
        <f>IFERROR(IF(ROWS($R$2:R29)&lt;=ROWS(tbl_Vendors[VendorName]),INDEX(tbl_Vendors[VendorName],ROWS($R$2:R29)),INDEX(tbl_Customers[CustomerName],ROWS($R$2:R29)-ROWS(tbl_Vendors[VendorName]))),"")</f>
        <v/>
      </c>
    </row>
    <row r="30">
      <c r="R30">
        <f>IFERROR(IF(ROWS($R$2:R30)&lt;=ROWS(tbl_Vendors[VendorName]),INDEX(tbl_Vendors[VendorName],ROWS($R$2:R30)),INDEX(tbl_Customers[CustomerName],ROWS($R$2:R30)-ROWS(tbl_Vendors[VendorName]))),"")</f>
        <v/>
      </c>
    </row>
    <row r="31">
      <c r="R31">
        <f>IFERROR(IF(ROWS($R$2:R31)&lt;=ROWS(tbl_Vendors[VendorName]),INDEX(tbl_Vendors[VendorName],ROWS($R$2:R31)),INDEX(tbl_Customers[CustomerName],ROWS($R$2:R31)-ROWS(tbl_Vendors[VendorName]))),"")</f>
        <v/>
      </c>
    </row>
    <row r="32">
      <c r="R32">
        <f>IFERROR(IF(ROWS($R$2:R32)&lt;=ROWS(tbl_Vendors[VendorName]),INDEX(tbl_Vendors[VendorName],ROWS($R$2:R32)),INDEX(tbl_Customers[CustomerName],ROWS($R$2:R32)-ROWS(tbl_Vendors[VendorName]))),"")</f>
        <v/>
      </c>
    </row>
    <row r="33">
      <c r="R33">
        <f>IFERROR(IF(ROWS($R$2:R33)&lt;=ROWS(tbl_Vendors[VendorName]),INDEX(tbl_Vendors[VendorName],ROWS($R$2:R33)),INDEX(tbl_Customers[CustomerName],ROWS($R$2:R33)-ROWS(tbl_Vendors[VendorName]))),"")</f>
        <v/>
      </c>
    </row>
    <row r="34">
      <c r="R34">
        <f>IFERROR(IF(ROWS($R$2:R34)&lt;=ROWS(tbl_Vendors[VendorName]),INDEX(tbl_Vendors[VendorName],ROWS($R$2:R34)),INDEX(tbl_Customers[CustomerName],ROWS($R$2:R34)-ROWS(tbl_Vendors[VendorName]))),"")</f>
        <v/>
      </c>
    </row>
    <row r="35">
      <c r="R35">
        <f>IFERROR(IF(ROWS($R$2:R35)&lt;=ROWS(tbl_Vendors[VendorName]),INDEX(tbl_Vendors[VendorName],ROWS($R$2:R35)),INDEX(tbl_Customers[CustomerName],ROWS($R$2:R35)-ROWS(tbl_Vendors[VendorName]))),"")</f>
        <v/>
      </c>
    </row>
    <row r="36">
      <c r="R36">
        <f>IFERROR(IF(ROWS($R$2:R36)&lt;=ROWS(tbl_Vendors[VendorName]),INDEX(tbl_Vendors[VendorName],ROWS($R$2:R36)),INDEX(tbl_Customers[CustomerName],ROWS($R$2:R36)-ROWS(tbl_Vendors[VendorName]))),"")</f>
        <v/>
      </c>
    </row>
    <row r="37">
      <c r="R37">
        <f>IFERROR(IF(ROWS($R$2:R37)&lt;=ROWS(tbl_Vendors[VendorName]),INDEX(tbl_Vendors[VendorName],ROWS($R$2:R37)),INDEX(tbl_Customers[CustomerName],ROWS($R$2:R37)-ROWS(tbl_Vendors[VendorName]))),"")</f>
        <v/>
      </c>
    </row>
    <row r="38">
      <c r="R38">
        <f>IFERROR(IF(ROWS($R$2:R38)&lt;=ROWS(tbl_Vendors[VendorName]),INDEX(tbl_Vendors[VendorName],ROWS($R$2:R38)),INDEX(tbl_Customers[CustomerName],ROWS($R$2:R38)-ROWS(tbl_Vendors[VendorName]))),"")</f>
        <v/>
      </c>
    </row>
    <row r="39">
      <c r="R39">
        <f>IFERROR(IF(ROWS($R$2:R39)&lt;=ROWS(tbl_Vendors[VendorName]),INDEX(tbl_Vendors[VendorName],ROWS($R$2:R39)),INDEX(tbl_Customers[CustomerName],ROWS($R$2:R39)-ROWS(tbl_Vendors[VendorName]))),"")</f>
        <v/>
      </c>
    </row>
    <row r="40">
      <c r="R40">
        <f>IFERROR(IF(ROWS($R$2:R40)&lt;=ROWS(tbl_Vendors[VendorName]),INDEX(tbl_Vendors[VendorName],ROWS($R$2:R40)),INDEX(tbl_Customers[CustomerName],ROWS($R$2:R40)-ROWS(tbl_Vendors[VendorName]))),"")</f>
        <v/>
      </c>
    </row>
    <row r="41">
      <c r="R41">
        <f>IFERROR(IF(ROWS($R$2:R41)&lt;=ROWS(tbl_Vendors[VendorName]),INDEX(tbl_Vendors[VendorName],ROWS($R$2:R41)),INDEX(tbl_Customers[CustomerName],ROWS($R$2:R41)-ROWS(tbl_Vendors[VendorName]))),"")</f>
        <v/>
      </c>
    </row>
    <row r="42">
      <c r="R42">
        <f>IFERROR(IF(ROWS($R$2:R42)&lt;=ROWS(tbl_Vendors[VendorName]),INDEX(tbl_Vendors[VendorName],ROWS($R$2:R42)),INDEX(tbl_Customers[CustomerName],ROWS($R$2:R42)-ROWS(tbl_Vendors[VendorName]))),"")</f>
        <v/>
      </c>
    </row>
    <row r="43">
      <c r="R43">
        <f>IFERROR(IF(ROWS($R$2:R43)&lt;=ROWS(tbl_Vendors[VendorName]),INDEX(tbl_Vendors[VendorName],ROWS($R$2:R43)),INDEX(tbl_Customers[CustomerName],ROWS($R$2:R43)-ROWS(tbl_Vendors[VendorName]))),"")</f>
        <v/>
      </c>
    </row>
    <row r="44">
      <c r="R44">
        <f>IFERROR(IF(ROWS($R$2:R44)&lt;=ROWS(tbl_Vendors[VendorName]),INDEX(tbl_Vendors[VendorName],ROWS($R$2:R44)),INDEX(tbl_Customers[CustomerName],ROWS($R$2:R44)-ROWS(tbl_Vendors[VendorName]))),"")</f>
        <v/>
      </c>
    </row>
    <row r="45">
      <c r="R45">
        <f>IFERROR(IF(ROWS($R$2:R45)&lt;=ROWS(tbl_Vendors[VendorName]),INDEX(tbl_Vendors[VendorName],ROWS($R$2:R45)),INDEX(tbl_Customers[CustomerName],ROWS($R$2:R45)-ROWS(tbl_Vendors[VendorName]))),"")</f>
        <v/>
      </c>
    </row>
    <row r="46">
      <c r="R46">
        <f>IFERROR(IF(ROWS($R$2:R46)&lt;=ROWS(tbl_Vendors[VendorName]),INDEX(tbl_Vendors[VendorName],ROWS($R$2:R46)),INDEX(tbl_Customers[CustomerName],ROWS($R$2:R46)-ROWS(tbl_Vendors[VendorName]))),"")</f>
        <v/>
      </c>
    </row>
    <row r="47">
      <c r="R47">
        <f>IFERROR(IF(ROWS($R$2:R47)&lt;=ROWS(tbl_Vendors[VendorName]),INDEX(tbl_Vendors[VendorName],ROWS($R$2:R47)),INDEX(tbl_Customers[CustomerName],ROWS($R$2:R47)-ROWS(tbl_Vendors[VendorName]))),"")</f>
        <v/>
      </c>
    </row>
    <row r="48">
      <c r="R48">
        <f>IFERROR(IF(ROWS($R$2:R48)&lt;=ROWS(tbl_Vendors[VendorName]),INDEX(tbl_Vendors[VendorName],ROWS($R$2:R48)),INDEX(tbl_Customers[CustomerName],ROWS($R$2:R48)-ROWS(tbl_Vendors[VendorName]))),"")</f>
        <v/>
      </c>
    </row>
    <row r="49">
      <c r="R49">
        <f>IFERROR(IF(ROWS($R$2:R49)&lt;=ROWS(tbl_Vendors[VendorName]),INDEX(tbl_Vendors[VendorName],ROWS($R$2:R49)),INDEX(tbl_Customers[CustomerName],ROWS($R$2:R49)-ROWS(tbl_Vendors[VendorName]))),"")</f>
        <v/>
      </c>
    </row>
    <row r="50">
      <c r="R50">
        <f>IFERROR(IF(ROWS($R$2:R50)&lt;=ROWS(tbl_Vendors[VendorName]),INDEX(tbl_Vendors[VendorName],ROWS($R$2:R50)),INDEX(tbl_Customers[CustomerName],ROWS($R$2:R50)-ROWS(tbl_Vendors[VendorName]))),"")</f>
        <v/>
      </c>
    </row>
    <row r="51">
      <c r="R51">
        <f>IFERROR(IF(ROWS($R$2:R51)&lt;=ROWS(tbl_Vendors[VendorName]),INDEX(tbl_Vendors[VendorName],ROWS($R$2:R51)),INDEX(tbl_Customers[CustomerName],ROWS($R$2:R51)-ROWS(tbl_Vendors[VendorName]))),"")</f>
        <v/>
      </c>
    </row>
    <row r="52">
      <c r="R52">
        <f>IFERROR(IF(ROWS($R$2:R52)&lt;=ROWS(tbl_Vendors[VendorName]),INDEX(tbl_Vendors[VendorName],ROWS($R$2:R52)),INDEX(tbl_Customers[CustomerName],ROWS($R$2:R52)-ROWS(tbl_Vendors[VendorName]))),"")</f>
        <v/>
      </c>
    </row>
    <row r="53">
      <c r="R53">
        <f>IFERROR(IF(ROWS($R$2:R53)&lt;=ROWS(tbl_Vendors[VendorName]),INDEX(tbl_Vendors[VendorName],ROWS($R$2:R53)),INDEX(tbl_Customers[CustomerName],ROWS($R$2:R53)-ROWS(tbl_Vendors[VendorName]))),"")</f>
        <v/>
      </c>
    </row>
    <row r="54">
      <c r="R54">
        <f>IFERROR(IF(ROWS($R$2:R54)&lt;=ROWS(tbl_Vendors[VendorName]),INDEX(tbl_Vendors[VendorName],ROWS($R$2:R54)),INDEX(tbl_Customers[CustomerName],ROWS($R$2:R54)-ROWS(tbl_Vendors[VendorName]))),"")</f>
        <v/>
      </c>
    </row>
    <row r="55">
      <c r="R55">
        <f>IFERROR(IF(ROWS($R$2:R55)&lt;=ROWS(tbl_Vendors[VendorName]),INDEX(tbl_Vendors[VendorName],ROWS($R$2:R55)),INDEX(tbl_Customers[CustomerName],ROWS($R$2:R55)-ROWS(tbl_Vendors[VendorName]))),"")</f>
        <v/>
      </c>
    </row>
    <row r="56">
      <c r="R56">
        <f>IFERROR(IF(ROWS($R$2:R56)&lt;=ROWS(tbl_Vendors[VendorName]),INDEX(tbl_Vendors[VendorName],ROWS($R$2:R56)),INDEX(tbl_Customers[CustomerName],ROWS($R$2:R56)-ROWS(tbl_Vendors[VendorName]))),"")</f>
        <v/>
      </c>
    </row>
    <row r="57">
      <c r="R57">
        <f>IFERROR(IF(ROWS($R$2:R57)&lt;=ROWS(tbl_Vendors[VendorName]),INDEX(tbl_Vendors[VendorName],ROWS($R$2:R57)),INDEX(tbl_Customers[CustomerName],ROWS($R$2:R57)-ROWS(tbl_Vendors[VendorName]))),"")</f>
        <v/>
      </c>
    </row>
    <row r="58">
      <c r="R58">
        <f>IFERROR(IF(ROWS($R$2:R58)&lt;=ROWS(tbl_Vendors[VendorName]),INDEX(tbl_Vendors[VendorName],ROWS($R$2:R58)),INDEX(tbl_Customers[CustomerName],ROWS($R$2:R58)-ROWS(tbl_Vendors[VendorName]))),"")</f>
        <v/>
      </c>
    </row>
    <row r="59">
      <c r="R59">
        <f>IFERROR(IF(ROWS($R$2:R59)&lt;=ROWS(tbl_Vendors[VendorName]),INDEX(tbl_Vendors[VendorName],ROWS($R$2:R59)),INDEX(tbl_Customers[CustomerName],ROWS($R$2:R59)-ROWS(tbl_Vendors[VendorName]))),"")</f>
        <v/>
      </c>
    </row>
    <row r="60">
      <c r="R60">
        <f>IFERROR(IF(ROWS($R$2:R60)&lt;=ROWS(tbl_Vendors[VendorName]),INDEX(tbl_Vendors[VendorName],ROWS($R$2:R60)),INDEX(tbl_Customers[CustomerName],ROWS($R$2:R60)-ROWS(tbl_Vendors[VendorName]))),"")</f>
        <v/>
      </c>
    </row>
    <row r="61">
      <c r="R61">
        <f>IFERROR(IF(ROWS($R$2:R61)&lt;=ROWS(tbl_Vendors[VendorName]),INDEX(tbl_Vendors[VendorName],ROWS($R$2:R61)),INDEX(tbl_Customers[CustomerName],ROWS($R$2:R61)-ROWS(tbl_Vendors[VendorName]))),"")</f>
        <v/>
      </c>
    </row>
    <row r="62">
      <c r="R62">
        <f>IFERROR(IF(ROWS($R$2:R62)&lt;=ROWS(tbl_Vendors[VendorName]),INDEX(tbl_Vendors[VendorName],ROWS($R$2:R62)),INDEX(tbl_Customers[CustomerName],ROWS($R$2:R62)-ROWS(tbl_Vendors[VendorName]))),"")</f>
        <v/>
      </c>
    </row>
    <row r="63">
      <c r="R63">
        <f>IFERROR(IF(ROWS($R$2:R63)&lt;=ROWS(tbl_Vendors[VendorName]),INDEX(tbl_Vendors[VendorName],ROWS($R$2:R63)),INDEX(tbl_Customers[CustomerName],ROWS($R$2:R63)-ROWS(tbl_Vendors[VendorName]))),"")</f>
        <v/>
      </c>
    </row>
    <row r="64">
      <c r="R64">
        <f>IFERROR(IF(ROWS($R$2:R64)&lt;=ROWS(tbl_Vendors[VendorName]),INDEX(tbl_Vendors[VendorName],ROWS($R$2:R64)),INDEX(tbl_Customers[CustomerName],ROWS($R$2:R64)-ROWS(tbl_Vendors[VendorName]))),"")</f>
        <v/>
      </c>
    </row>
    <row r="65">
      <c r="R65">
        <f>IFERROR(IF(ROWS($R$2:R65)&lt;=ROWS(tbl_Vendors[VendorName]),INDEX(tbl_Vendors[VendorName],ROWS($R$2:R65)),INDEX(tbl_Customers[CustomerName],ROWS($R$2:R65)-ROWS(tbl_Vendors[VendorName]))),"")</f>
        <v/>
      </c>
    </row>
    <row r="66">
      <c r="R66">
        <f>IFERROR(IF(ROWS($R$2:R66)&lt;=ROWS(tbl_Vendors[VendorName]),INDEX(tbl_Vendors[VendorName],ROWS($R$2:R66)),INDEX(tbl_Customers[CustomerName],ROWS($R$2:R66)-ROWS(tbl_Vendors[VendorName]))),"")</f>
        <v/>
      </c>
    </row>
    <row r="67">
      <c r="R67">
        <f>IFERROR(IF(ROWS($R$2:R67)&lt;=ROWS(tbl_Vendors[VendorName]),INDEX(tbl_Vendors[VendorName],ROWS($R$2:R67)),INDEX(tbl_Customers[CustomerName],ROWS($R$2:R67)-ROWS(tbl_Vendors[VendorName]))),"")</f>
        <v/>
      </c>
    </row>
    <row r="68">
      <c r="R68">
        <f>IFERROR(IF(ROWS($R$2:R68)&lt;=ROWS(tbl_Vendors[VendorName]),INDEX(tbl_Vendors[VendorName],ROWS($R$2:R68)),INDEX(tbl_Customers[CustomerName],ROWS($R$2:R68)-ROWS(tbl_Vendors[VendorName]))),"")</f>
        <v/>
      </c>
    </row>
    <row r="69">
      <c r="R69">
        <f>IFERROR(IF(ROWS($R$2:R69)&lt;=ROWS(tbl_Vendors[VendorName]),INDEX(tbl_Vendors[VendorName],ROWS($R$2:R69)),INDEX(tbl_Customers[CustomerName],ROWS($R$2:R69)-ROWS(tbl_Vendors[VendorName]))),"")</f>
        <v/>
      </c>
    </row>
    <row r="70">
      <c r="R70">
        <f>IFERROR(IF(ROWS($R$2:R70)&lt;=ROWS(tbl_Vendors[VendorName]),INDEX(tbl_Vendors[VendorName],ROWS($R$2:R70)),INDEX(tbl_Customers[CustomerName],ROWS($R$2:R70)-ROWS(tbl_Vendors[VendorName]))),"")</f>
        <v/>
      </c>
    </row>
    <row r="71">
      <c r="R71">
        <f>IFERROR(IF(ROWS($R$2:R71)&lt;=ROWS(tbl_Vendors[VendorName]),INDEX(tbl_Vendors[VendorName],ROWS($R$2:R71)),INDEX(tbl_Customers[CustomerName],ROWS($R$2:R71)-ROWS(tbl_Vendors[VendorName]))),"")</f>
        <v/>
      </c>
    </row>
    <row r="72">
      <c r="R72">
        <f>IFERROR(IF(ROWS($R$2:R72)&lt;=ROWS(tbl_Vendors[VendorName]),INDEX(tbl_Vendors[VendorName],ROWS($R$2:R72)),INDEX(tbl_Customers[CustomerName],ROWS($R$2:R72)-ROWS(tbl_Vendors[VendorName]))),"")</f>
        <v/>
      </c>
    </row>
    <row r="73">
      <c r="R73">
        <f>IFERROR(IF(ROWS($R$2:R73)&lt;=ROWS(tbl_Vendors[VendorName]),INDEX(tbl_Vendors[VendorName],ROWS($R$2:R73)),INDEX(tbl_Customers[CustomerName],ROWS($R$2:R73)-ROWS(tbl_Vendors[VendorName]))),"")</f>
        <v/>
      </c>
    </row>
    <row r="74">
      <c r="R74">
        <f>IFERROR(IF(ROWS($R$2:R74)&lt;=ROWS(tbl_Vendors[VendorName]),INDEX(tbl_Vendors[VendorName],ROWS($R$2:R74)),INDEX(tbl_Customers[CustomerName],ROWS($R$2:R74)-ROWS(tbl_Vendors[VendorName]))),"")</f>
        <v/>
      </c>
    </row>
    <row r="75">
      <c r="R75">
        <f>IFERROR(IF(ROWS($R$2:R75)&lt;=ROWS(tbl_Vendors[VendorName]),INDEX(tbl_Vendors[VendorName],ROWS($R$2:R75)),INDEX(tbl_Customers[CustomerName],ROWS($R$2:R75)-ROWS(tbl_Vendors[VendorName]))),"")</f>
        <v/>
      </c>
    </row>
    <row r="76">
      <c r="R76">
        <f>IFERROR(IF(ROWS($R$2:R76)&lt;=ROWS(tbl_Vendors[VendorName]),INDEX(tbl_Vendors[VendorName],ROWS($R$2:R76)),INDEX(tbl_Customers[CustomerName],ROWS($R$2:R76)-ROWS(tbl_Vendors[VendorName]))),"")</f>
        <v/>
      </c>
    </row>
    <row r="77">
      <c r="R77">
        <f>IFERROR(IF(ROWS($R$2:R77)&lt;=ROWS(tbl_Vendors[VendorName]),INDEX(tbl_Vendors[VendorName],ROWS($R$2:R77)),INDEX(tbl_Customers[CustomerName],ROWS($R$2:R77)-ROWS(tbl_Vendors[VendorName]))),"")</f>
        <v/>
      </c>
    </row>
    <row r="78">
      <c r="R78">
        <f>IFERROR(IF(ROWS($R$2:R78)&lt;=ROWS(tbl_Vendors[VendorName]),INDEX(tbl_Vendors[VendorName],ROWS($R$2:R78)),INDEX(tbl_Customers[CustomerName],ROWS($R$2:R78)-ROWS(tbl_Vendors[VendorName]))),"")</f>
        <v/>
      </c>
    </row>
    <row r="79">
      <c r="R79">
        <f>IFERROR(IF(ROWS($R$2:R79)&lt;=ROWS(tbl_Vendors[VendorName]),INDEX(tbl_Vendors[VendorName],ROWS($R$2:R79)),INDEX(tbl_Customers[CustomerName],ROWS($R$2:R79)-ROWS(tbl_Vendors[VendorName]))),"")</f>
        <v/>
      </c>
    </row>
    <row r="80">
      <c r="R80">
        <f>IFERROR(IF(ROWS($R$2:R80)&lt;=ROWS(tbl_Vendors[VendorName]),INDEX(tbl_Vendors[VendorName],ROWS($R$2:R80)),INDEX(tbl_Customers[CustomerName],ROWS($R$2:R80)-ROWS(tbl_Vendors[VendorName]))),"")</f>
        <v/>
      </c>
    </row>
    <row r="81">
      <c r="R81">
        <f>IFERROR(IF(ROWS($R$2:R81)&lt;=ROWS(tbl_Vendors[VendorName]),INDEX(tbl_Vendors[VendorName],ROWS($R$2:R81)),INDEX(tbl_Customers[CustomerName],ROWS($R$2:R81)-ROWS(tbl_Vendors[VendorName]))),"")</f>
        <v/>
      </c>
    </row>
    <row r="82">
      <c r="R82">
        <f>IFERROR(IF(ROWS($R$2:R82)&lt;=ROWS(tbl_Vendors[VendorName]),INDEX(tbl_Vendors[VendorName],ROWS($R$2:R82)),INDEX(tbl_Customers[CustomerName],ROWS($R$2:R82)-ROWS(tbl_Vendors[VendorName]))),"")</f>
        <v/>
      </c>
    </row>
    <row r="83">
      <c r="R83">
        <f>IFERROR(IF(ROWS($R$2:R83)&lt;=ROWS(tbl_Vendors[VendorName]),INDEX(tbl_Vendors[VendorName],ROWS($R$2:R83)),INDEX(tbl_Customers[CustomerName],ROWS($R$2:R83)-ROWS(tbl_Vendors[VendorName]))),"")</f>
        <v/>
      </c>
    </row>
    <row r="84">
      <c r="R84">
        <f>IFERROR(IF(ROWS($R$2:R84)&lt;=ROWS(tbl_Vendors[VendorName]),INDEX(tbl_Vendors[VendorName],ROWS($R$2:R84)),INDEX(tbl_Customers[CustomerName],ROWS($R$2:R84)-ROWS(tbl_Vendors[VendorName]))),"")</f>
        <v/>
      </c>
    </row>
    <row r="85">
      <c r="R85">
        <f>IFERROR(IF(ROWS($R$2:R85)&lt;=ROWS(tbl_Vendors[VendorName]),INDEX(tbl_Vendors[VendorName],ROWS($R$2:R85)),INDEX(tbl_Customers[CustomerName],ROWS($R$2:R85)-ROWS(tbl_Vendors[VendorName]))),"")</f>
        <v/>
      </c>
    </row>
    <row r="86">
      <c r="R86">
        <f>IFERROR(IF(ROWS($R$2:R86)&lt;=ROWS(tbl_Vendors[VendorName]),INDEX(tbl_Vendors[VendorName],ROWS($R$2:R86)),INDEX(tbl_Customers[CustomerName],ROWS($R$2:R86)-ROWS(tbl_Vendors[VendorName]))),"")</f>
        <v/>
      </c>
    </row>
    <row r="87">
      <c r="R87">
        <f>IFERROR(IF(ROWS($R$2:R87)&lt;=ROWS(tbl_Vendors[VendorName]),INDEX(tbl_Vendors[VendorName],ROWS($R$2:R87)),INDEX(tbl_Customers[CustomerName],ROWS($R$2:R87)-ROWS(tbl_Vendors[VendorName]))),"")</f>
        <v/>
      </c>
    </row>
    <row r="88">
      <c r="R88">
        <f>IFERROR(IF(ROWS($R$2:R88)&lt;=ROWS(tbl_Vendors[VendorName]),INDEX(tbl_Vendors[VendorName],ROWS($R$2:R88)),INDEX(tbl_Customers[CustomerName],ROWS($R$2:R88)-ROWS(tbl_Vendors[VendorName]))),"")</f>
        <v/>
      </c>
    </row>
    <row r="89">
      <c r="R89">
        <f>IFERROR(IF(ROWS($R$2:R89)&lt;=ROWS(tbl_Vendors[VendorName]),INDEX(tbl_Vendors[VendorName],ROWS($R$2:R89)),INDEX(tbl_Customers[CustomerName],ROWS($R$2:R89)-ROWS(tbl_Vendors[VendorName]))),"")</f>
        <v/>
      </c>
    </row>
    <row r="90">
      <c r="R90">
        <f>IFERROR(IF(ROWS($R$2:R90)&lt;=ROWS(tbl_Vendors[VendorName]),INDEX(tbl_Vendors[VendorName],ROWS($R$2:R90)),INDEX(tbl_Customers[CustomerName],ROWS($R$2:R90)-ROWS(tbl_Vendors[VendorName]))),"")</f>
        <v/>
      </c>
    </row>
    <row r="91">
      <c r="R91">
        <f>IFERROR(IF(ROWS($R$2:R91)&lt;=ROWS(tbl_Vendors[VendorName]),INDEX(tbl_Vendors[VendorName],ROWS($R$2:R91)),INDEX(tbl_Customers[CustomerName],ROWS($R$2:R91)-ROWS(tbl_Vendors[VendorName]))),"")</f>
        <v/>
      </c>
    </row>
    <row r="92">
      <c r="R92">
        <f>IFERROR(IF(ROWS($R$2:R92)&lt;=ROWS(tbl_Vendors[VendorName]),INDEX(tbl_Vendors[VendorName],ROWS($R$2:R92)),INDEX(tbl_Customers[CustomerName],ROWS($R$2:R92)-ROWS(tbl_Vendors[VendorName]))),"")</f>
        <v/>
      </c>
    </row>
    <row r="93">
      <c r="R93">
        <f>IFERROR(IF(ROWS($R$2:R93)&lt;=ROWS(tbl_Vendors[VendorName]),INDEX(tbl_Vendors[VendorName],ROWS($R$2:R93)),INDEX(tbl_Customers[CustomerName],ROWS($R$2:R93)-ROWS(tbl_Vendors[VendorName]))),"")</f>
        <v/>
      </c>
    </row>
    <row r="94">
      <c r="R94">
        <f>IFERROR(IF(ROWS($R$2:R94)&lt;=ROWS(tbl_Vendors[VendorName]),INDEX(tbl_Vendors[VendorName],ROWS($R$2:R94)),INDEX(tbl_Customers[CustomerName],ROWS($R$2:R94)-ROWS(tbl_Vendors[VendorName]))),"")</f>
        <v/>
      </c>
    </row>
    <row r="95">
      <c r="R95">
        <f>IFERROR(IF(ROWS($R$2:R95)&lt;=ROWS(tbl_Vendors[VendorName]),INDEX(tbl_Vendors[VendorName],ROWS($R$2:R95)),INDEX(tbl_Customers[CustomerName],ROWS($R$2:R95)-ROWS(tbl_Vendors[VendorName]))),"")</f>
        <v/>
      </c>
    </row>
    <row r="96">
      <c r="R96">
        <f>IFERROR(IF(ROWS($R$2:R96)&lt;=ROWS(tbl_Vendors[VendorName]),INDEX(tbl_Vendors[VendorName],ROWS($R$2:R96)),INDEX(tbl_Customers[CustomerName],ROWS($R$2:R96)-ROWS(tbl_Vendors[VendorName]))),"")</f>
        <v/>
      </c>
    </row>
    <row r="97">
      <c r="R97">
        <f>IFERROR(IF(ROWS($R$2:R97)&lt;=ROWS(tbl_Vendors[VendorName]),INDEX(tbl_Vendors[VendorName],ROWS($R$2:R97)),INDEX(tbl_Customers[CustomerName],ROWS($R$2:R97)-ROWS(tbl_Vendors[VendorName]))),"")</f>
        <v/>
      </c>
    </row>
    <row r="98">
      <c r="R98">
        <f>IFERROR(IF(ROWS($R$2:R98)&lt;=ROWS(tbl_Vendors[VendorName]),INDEX(tbl_Vendors[VendorName],ROWS($R$2:R98)),INDEX(tbl_Customers[CustomerName],ROWS($R$2:R98)-ROWS(tbl_Vendors[VendorName]))),"")</f>
        <v/>
      </c>
    </row>
    <row r="99">
      <c r="R99">
        <f>IFERROR(IF(ROWS($R$2:R99)&lt;=ROWS(tbl_Vendors[VendorName]),INDEX(tbl_Vendors[VendorName],ROWS($R$2:R99)),INDEX(tbl_Customers[CustomerName],ROWS($R$2:R99)-ROWS(tbl_Vendors[VendorName]))),"")</f>
        <v/>
      </c>
    </row>
    <row r="100">
      <c r="R100">
        <f>IFERROR(IF(ROWS($R$2:R100)&lt;=ROWS(tbl_Vendors[VendorName]),INDEX(tbl_Vendors[VendorName],ROWS($R$2:R100)),INDEX(tbl_Customers[CustomerName],ROWS($R$2:R100)-ROWS(tbl_Vendors[VendorName]))),"")</f>
        <v/>
      </c>
    </row>
    <row r="101">
      <c r="R101">
        <f>IFERROR(IF(ROWS($R$2:R101)&lt;=ROWS(tbl_Vendors[VendorName]),INDEX(tbl_Vendors[VendorName],ROWS($R$2:R101)),INDEX(tbl_Customers[CustomerName],ROWS($R$2:R101)-ROWS(tbl_Vendors[VendorName]))),"")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2026-07-15T09:11:18Z</dcterms:created>
  <dcterms:modified xmlns:dcterms="http://purl.org/dc/terms/" xmlns:xsi="http://www.w3.org/2001/XMLSchema-instance" xsi:type="dcterms:W3CDTF">2026-10-08T10:05:26Z</dcterms:modified>
  <cp:lastModifiedBy>saad</cp:lastModifiedBy>
  <cp:revision>0</cp:revision>
</cp:coreProperties>
</file>